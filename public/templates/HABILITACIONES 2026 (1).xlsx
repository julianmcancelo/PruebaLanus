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ta\Downloads\"/>
    </mc:Choice>
  </mc:AlternateContent>
  <xr:revisionPtr revIDLastSave="0" documentId="13_ncr:1_{4DDD8383-C0B5-464A-8B1E-873CF2B96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PARA INSPECCION DE REM" sheetId="5" r:id="rId1"/>
    <sheet name="HAB. T.E 2024" sheetId="7" state="hidden" r:id="rId2"/>
    <sheet name="HAB. T.E 2023" sheetId="8" state="hidden" r:id="rId3"/>
    <sheet name="Escolares" sheetId="9" state="hidden" r:id="rId4"/>
    <sheet name="HAB.REMISES" sheetId="10" state="hidden" r:id="rId5"/>
    <sheet name="ImportRange" sheetId="11" state="hidden" r:id="rId6"/>
  </sheets>
  <definedNames>
    <definedName name="_xlnm._FilterDatabase" localSheetId="3" hidden="1">Escolares!$A$3:$AK$203</definedName>
    <definedName name="_xlnm._FilterDatabase" localSheetId="4" hidden="1">HAB.REMISES!$A$1:$T$997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1" l="1"/>
  <c r="AG203" i="9"/>
  <c r="AG202" i="9"/>
  <c r="AG201" i="9"/>
  <c r="AG200" i="9"/>
  <c r="AG199" i="9"/>
  <c r="AG198" i="9"/>
  <c r="AG197" i="9"/>
  <c r="AH196" i="9"/>
  <c r="AG196" i="9"/>
  <c r="AG195" i="9"/>
  <c r="AG194" i="9"/>
  <c r="AH193" i="9"/>
  <c r="AG193" i="9"/>
  <c r="AG192" i="9"/>
  <c r="AG191" i="9"/>
  <c r="AG190" i="9"/>
  <c r="AG189" i="9"/>
  <c r="AG188" i="9"/>
  <c r="AH187" i="9"/>
  <c r="AG187" i="9"/>
  <c r="AG186" i="9"/>
  <c r="AH185" i="9"/>
  <c r="AG185" i="9"/>
  <c r="AG184" i="9"/>
  <c r="AG183" i="9"/>
  <c r="AG182" i="9"/>
  <c r="AG181" i="9"/>
  <c r="AH180" i="9"/>
  <c r="AG180" i="9"/>
  <c r="AG179" i="9"/>
  <c r="AG178" i="9"/>
  <c r="AG177" i="9"/>
  <c r="AG176" i="9"/>
  <c r="AG175" i="9"/>
  <c r="AG174" i="9"/>
  <c r="AG173" i="9"/>
  <c r="AG172" i="9"/>
  <c r="AG171" i="9"/>
  <c r="AG170" i="9"/>
  <c r="AG169" i="9"/>
  <c r="AH168" i="9"/>
  <c r="AG168" i="9"/>
  <c r="AG167" i="9"/>
  <c r="AG166" i="9"/>
  <c r="AG165" i="9"/>
  <c r="AG164" i="9"/>
  <c r="AG163" i="9"/>
  <c r="AG162" i="9"/>
  <c r="AG161" i="9"/>
  <c r="AG160" i="9"/>
  <c r="AG159" i="9"/>
  <c r="AG158" i="9"/>
  <c r="AG157" i="9"/>
  <c r="AG156" i="9"/>
  <c r="AG155" i="9"/>
  <c r="AG154" i="9"/>
  <c r="AG153" i="9"/>
  <c r="AG152" i="9"/>
  <c r="AG151" i="9"/>
  <c r="AG150" i="9"/>
  <c r="AG149" i="9"/>
  <c r="AG148" i="9"/>
  <c r="AG147" i="9"/>
  <c r="AH146" i="9"/>
  <c r="AG146" i="9"/>
  <c r="AG145" i="9"/>
  <c r="AG144" i="9"/>
  <c r="AG143" i="9"/>
  <c r="AH142" i="9"/>
  <c r="AG142" i="9"/>
  <c r="AG141" i="9"/>
  <c r="AG140" i="9"/>
  <c r="AG139" i="9"/>
  <c r="AG138" i="9"/>
  <c r="AG137" i="9"/>
  <c r="AG136" i="9"/>
  <c r="AG135" i="9"/>
  <c r="AG134" i="9"/>
  <c r="AG133" i="9"/>
  <c r="AG132" i="9"/>
  <c r="AG131" i="9"/>
  <c r="AG130" i="9"/>
  <c r="AG129" i="9"/>
  <c r="AG128" i="9"/>
  <c r="AG127" i="9"/>
  <c r="AG126" i="9"/>
  <c r="AG125" i="9"/>
  <c r="AG124" i="9"/>
  <c r="AG123" i="9"/>
  <c r="AG122" i="9"/>
  <c r="AG121" i="9"/>
  <c r="AG120" i="9"/>
  <c r="AG119" i="9"/>
  <c r="AH118" i="9"/>
  <c r="AG118" i="9"/>
  <c r="AH117" i="9"/>
  <c r="AG117" i="9"/>
  <c r="AH116" i="9"/>
  <c r="AG115" i="9"/>
  <c r="AG114" i="9"/>
  <c r="AG113" i="9"/>
  <c r="AG112" i="9"/>
  <c r="AH111" i="9"/>
  <c r="AG111" i="9"/>
  <c r="AH110" i="9"/>
  <c r="AG110" i="9"/>
  <c r="AG109" i="9"/>
  <c r="AG108" i="9"/>
  <c r="AG107" i="9"/>
  <c r="AG106" i="9"/>
  <c r="AH105" i="9"/>
  <c r="AG105" i="9"/>
  <c r="AG104" i="9"/>
  <c r="AG103" i="9"/>
  <c r="AH102" i="9"/>
  <c r="AG102" i="9"/>
  <c r="AH101" i="9"/>
  <c r="AG101" i="9"/>
  <c r="AH100" i="9"/>
  <c r="AG100" i="9"/>
  <c r="AG99" i="9"/>
  <c r="AH98" i="9"/>
  <c r="AG98" i="9"/>
  <c r="AG97" i="9"/>
  <c r="AH96" i="9"/>
  <c r="AG96" i="9"/>
  <c r="AH95" i="9"/>
  <c r="AG95" i="9"/>
  <c r="AG94" i="9"/>
  <c r="AG93" i="9"/>
  <c r="AG92" i="9"/>
  <c r="AG91" i="9"/>
  <c r="AH90" i="9"/>
  <c r="AG90" i="9"/>
  <c r="AG89" i="9"/>
  <c r="AG88" i="9"/>
  <c r="AG87" i="9"/>
  <c r="AG86" i="9"/>
  <c r="AH85" i="9"/>
  <c r="AG85" i="9"/>
  <c r="AG84" i="9"/>
  <c r="AG83" i="9"/>
  <c r="AG82" i="9"/>
  <c r="AG81" i="9"/>
  <c r="AH80" i="9"/>
  <c r="AG80" i="9"/>
  <c r="AG79" i="9"/>
  <c r="AG78" i="9"/>
  <c r="AH77" i="9"/>
  <c r="AG77" i="9"/>
  <c r="AH76" i="9"/>
  <c r="AG76" i="9"/>
  <c r="AG75" i="9"/>
  <c r="AH74" i="9"/>
  <c r="AG73" i="9"/>
  <c r="AH72" i="9"/>
  <c r="AG72" i="9"/>
  <c r="AG71" i="9"/>
  <c r="AG70" i="9"/>
  <c r="AG69" i="9"/>
  <c r="AG68" i="9"/>
  <c r="AG67" i="9"/>
  <c r="AG66" i="9"/>
  <c r="AH65" i="9"/>
  <c r="AG65" i="9"/>
  <c r="AG64" i="9"/>
  <c r="AH63" i="9"/>
  <c r="AG63" i="9"/>
  <c r="AG62" i="9"/>
  <c r="AG61" i="9"/>
  <c r="AH60" i="9"/>
  <c r="AG60" i="9"/>
  <c r="AG59" i="9"/>
  <c r="AG58" i="9"/>
  <c r="AG57" i="9"/>
  <c r="AG56" i="9"/>
  <c r="AH55" i="9"/>
  <c r="AG55" i="9"/>
  <c r="AH54" i="9"/>
  <c r="AG54" i="9"/>
  <c r="AH53" i="9"/>
  <c r="AG53" i="9"/>
  <c r="AH52" i="9"/>
  <c r="AG52" i="9"/>
  <c r="AG51" i="9"/>
  <c r="AG50" i="9"/>
  <c r="AG49" i="9"/>
  <c r="AH48" i="9"/>
  <c r="AG48" i="9"/>
  <c r="AH47" i="9"/>
  <c r="AG47" i="9"/>
  <c r="AG46" i="9"/>
  <c r="AG45" i="9"/>
  <c r="AG44" i="9"/>
  <c r="AH43" i="9"/>
  <c r="AG43" i="9"/>
  <c r="AH42" i="9"/>
  <c r="AG42" i="9"/>
  <c r="AG41" i="9"/>
  <c r="AG40" i="9"/>
  <c r="AH39" i="9"/>
  <c r="AG39" i="9"/>
  <c r="AG38" i="9"/>
  <c r="AG37" i="9"/>
  <c r="AH36" i="9"/>
  <c r="AG36" i="9"/>
  <c r="AG35" i="9"/>
  <c r="AG34" i="9"/>
  <c r="AH33" i="9"/>
  <c r="AG33" i="9"/>
  <c r="AH32" i="9"/>
  <c r="AG32" i="9"/>
  <c r="AG31" i="9"/>
  <c r="AH30" i="9"/>
  <c r="AG30" i="9"/>
  <c r="AG29" i="9"/>
  <c r="AH28" i="9"/>
  <c r="AG28" i="9"/>
  <c r="AH27" i="9"/>
  <c r="AG27" i="9"/>
  <c r="AG26" i="9"/>
  <c r="AH25" i="9"/>
  <c r="AG25" i="9"/>
  <c r="AG24" i="9"/>
  <c r="AH23" i="9"/>
  <c r="AG23" i="9"/>
  <c r="AG22" i="9"/>
  <c r="AG21" i="9"/>
  <c r="AH20" i="9"/>
  <c r="AG20" i="9"/>
  <c r="AG19" i="9"/>
  <c r="AG18" i="9"/>
  <c r="AG17" i="9"/>
  <c r="AG16" i="9"/>
  <c r="AH15" i="9"/>
  <c r="AG15" i="9"/>
  <c r="AG14" i="9"/>
  <c r="AH13" i="9"/>
  <c r="AG13" i="9"/>
  <c r="AH12" i="9"/>
  <c r="AG12" i="9"/>
  <c r="AG11" i="9"/>
  <c r="AH10" i="9"/>
  <c r="AG10" i="9"/>
  <c r="AG9" i="9"/>
  <c r="AH8" i="9"/>
  <c r="AG8" i="9"/>
  <c r="AG7" i="9"/>
  <c r="AG6" i="9"/>
  <c r="AH5" i="9"/>
  <c r="AG5" i="9"/>
  <c r="AH4" i="9"/>
  <c r="AG4" i="9"/>
</calcChain>
</file>

<file path=xl/sharedStrings.xml><?xml version="1.0" encoding="utf-8"?>
<sst xmlns="http://schemas.openxmlformats.org/spreadsheetml/2006/main" count="4108" uniqueCount="2203">
  <si>
    <t>N° de Licencia</t>
  </si>
  <si>
    <t>Domicilio</t>
  </si>
  <si>
    <t>Dominio</t>
  </si>
  <si>
    <t>Marca</t>
  </si>
  <si>
    <t>Modelo</t>
  </si>
  <si>
    <t>Año</t>
  </si>
  <si>
    <t>Tipo</t>
  </si>
  <si>
    <t>Expediente</t>
  </si>
  <si>
    <t>RESOLUCION</t>
  </si>
  <si>
    <t>PERALTA ALBERTO</t>
  </si>
  <si>
    <t>PEDRO RETA 946- MONTE GRANDE</t>
  </si>
  <si>
    <t>AA189RY</t>
  </si>
  <si>
    <t>RENAULT</t>
  </si>
  <si>
    <t>DUSTER PH2 PRIVILEGE 2.0</t>
  </si>
  <si>
    <t>RURAL 5 PUERTAS</t>
  </si>
  <si>
    <t>D&amp;F SERVICE</t>
  </si>
  <si>
    <t>APROBADO</t>
  </si>
  <si>
    <t>GARCIA SERGIO</t>
  </si>
  <si>
    <t>BRUNO TAVANO 1200- LOMAS DE ZAMORA</t>
  </si>
  <si>
    <t>AE926DT</t>
  </si>
  <si>
    <t>CHEVROLET</t>
  </si>
  <si>
    <t xml:space="preserve">ONIX PLUS 1.4 MT JOY </t>
  </si>
  <si>
    <t>SEDAN 4 PUERTAS</t>
  </si>
  <si>
    <t>BALICE NICOLAS</t>
  </si>
  <si>
    <t>YERBAL N° 2928 - LANUS</t>
  </si>
  <si>
    <t>AD140ZG</t>
  </si>
  <si>
    <t>FIAT</t>
  </si>
  <si>
    <t>CRONOS DRIVE 1.3 MT</t>
  </si>
  <si>
    <t xml:space="preserve">MATTIUSSI SERGIO DANIEL </t>
  </si>
  <si>
    <t>BALCARCE  1661  - RAMOS MEJIA</t>
  </si>
  <si>
    <t>AC036KM</t>
  </si>
  <si>
    <t xml:space="preserve">CITROEN </t>
  </si>
  <si>
    <t>LOUNGE HDI 115  MT6 FEEL PACK  AM 18</t>
  </si>
  <si>
    <t>304C</t>
  </si>
  <si>
    <t>VIAMONTE  2648 - LANUS OESTE</t>
  </si>
  <si>
    <t>LEAL JUAN PABLO</t>
  </si>
  <si>
    <t>NUI397</t>
  </si>
  <si>
    <t xml:space="preserve">FIAT </t>
  </si>
  <si>
    <t>GRAND SIENA ESSENCE 1.6 16V</t>
  </si>
  <si>
    <t>MARIA SOLEDAD COSTA ALBELO</t>
  </si>
  <si>
    <t>DUCLOT 296 3°A - MONTE GRANDE</t>
  </si>
  <si>
    <t>GAUTO CARDOZO NANCY GRISELDA</t>
  </si>
  <si>
    <t>AB288GW</t>
  </si>
  <si>
    <t>FLUENCE PH2 2.0 LUXE</t>
  </si>
  <si>
    <t>307C</t>
  </si>
  <si>
    <t>COLOMBIA 1040 - LANUS</t>
  </si>
  <si>
    <t>AE736XG</t>
  </si>
  <si>
    <t>CRONOS PRECISION 1.8 MT</t>
  </si>
  <si>
    <t>CABIFY</t>
  </si>
  <si>
    <t>LAZARTE SERGIO LEONARDO</t>
  </si>
  <si>
    <t>ESPAÑA 6568 - CLAYPOLE</t>
  </si>
  <si>
    <t>AA190AM</t>
  </si>
  <si>
    <t>FLUENCE PH2 1.8 LUXE</t>
  </si>
  <si>
    <t>SIÑERIZ FABIAN MARCELO</t>
  </si>
  <si>
    <t>OSVALDO CRUZ 3836 PB.C- CABA</t>
  </si>
  <si>
    <t>AD042GR</t>
  </si>
  <si>
    <t>NUEVO SANDERO DYNAMIQUE</t>
  </si>
  <si>
    <t>SEDAN 5 PUERTAS</t>
  </si>
  <si>
    <t>LEDESMA CARLOS RENE</t>
  </si>
  <si>
    <t>COLON 1049 - TRISTAN SUAREZ- EZEIZA</t>
  </si>
  <si>
    <t>AE671DK</t>
  </si>
  <si>
    <t>LOGAN PH2 LIFE 1.6</t>
  </si>
  <si>
    <t>AD569GK</t>
  </si>
  <si>
    <t>VOLKSWAGEN</t>
  </si>
  <si>
    <t>SURAN 1.6L 5D TRACK 350</t>
  </si>
  <si>
    <t>RODRIGUEZ NAZZARI ALEJANDRO</t>
  </si>
  <si>
    <t>AF417CX</t>
  </si>
  <si>
    <t>TOYOTA</t>
  </si>
  <si>
    <t>ETIOS X 1.5 6M/T</t>
  </si>
  <si>
    <t>BERRIOS JUAN CARLOS</t>
  </si>
  <si>
    <t>JUAN DE GARAY 2799 - CABA</t>
  </si>
  <si>
    <t>MRG844</t>
  </si>
  <si>
    <t>COBALT 1.8 N LT</t>
  </si>
  <si>
    <t>ROMAN NANCY ISABEL</t>
  </si>
  <si>
    <t>MANUEL OCAMPO 3181-  LANUS</t>
  </si>
  <si>
    <t>KAY815</t>
  </si>
  <si>
    <t>KANGOO CONFORT 1.6</t>
  </si>
  <si>
    <t>FAMILIARY</t>
  </si>
  <si>
    <t>CISNEROS SANTA CRUZ JOSE LUIS</t>
  </si>
  <si>
    <t>USPALLATA 2181 - CABA</t>
  </si>
  <si>
    <t>ORQ802</t>
  </si>
  <si>
    <t>SURAN 1.6 5D 156</t>
  </si>
  <si>
    <t>CARDINALE ALEJANDRO MAXIMILIANO</t>
  </si>
  <si>
    <t>HEREDIA 5730 WILDE</t>
  </si>
  <si>
    <t>OLG257</t>
  </si>
  <si>
    <t>GRAND SIENA ATTRACTIVE 1.4 8V</t>
  </si>
  <si>
    <t>GALVAN VIRGINIA DE LOS ANGELES</t>
  </si>
  <si>
    <t>CALLE 814 N° 2643</t>
  </si>
  <si>
    <t>GONZALEZ RUBEN DARIO</t>
  </si>
  <si>
    <t>LSA054</t>
  </si>
  <si>
    <t>GOL 1.4L</t>
  </si>
  <si>
    <t>HERNANDEZ PALMA FELIX E.</t>
  </si>
  <si>
    <t>AV. CABILDO 3041 CABA</t>
  </si>
  <si>
    <t>NRL034</t>
  </si>
  <si>
    <t>NUEVO LOGAN AUTHENTIQUE 1.6</t>
  </si>
  <si>
    <t>COSENTINI VICENTE</t>
  </si>
  <si>
    <t>CHASCOMUS 1871 - M. CHINGOLO LANUS</t>
  </si>
  <si>
    <t>MAO752</t>
  </si>
  <si>
    <t>CLASSIC 4PTAS LT SPI</t>
  </si>
  <si>
    <t>GIACUMBO ALEJANDRO CESAR</t>
  </si>
  <si>
    <t>GRAL. DEHEZA  3350 - LANUS</t>
  </si>
  <si>
    <t>MYX371</t>
  </si>
  <si>
    <t xml:space="preserve">TOYOTA </t>
  </si>
  <si>
    <t>COROLA XEI 1.8</t>
  </si>
  <si>
    <t>PRIDA HEBER ALEXIS</t>
  </si>
  <si>
    <t>VIDAL SUSANA E.</t>
  </si>
  <si>
    <t>DON ORIONE 4398- LANUS OESTE</t>
  </si>
  <si>
    <t>AE901EM</t>
  </si>
  <si>
    <t>PEUGEOT</t>
  </si>
  <si>
    <t>PARTNER CONFORT 1.6 HDI 92 5 PLAZAS,</t>
  </si>
  <si>
    <t>FURGON</t>
  </si>
  <si>
    <t>ESTEVEZ 147 16 1 TORRE 1 - AVELLANEDA</t>
  </si>
  <si>
    <t>OKV374</t>
  </si>
  <si>
    <t>SIENA 1.6 EL</t>
  </si>
  <si>
    <t xml:space="preserve">NEGRI ENRIQUE GUSTAVO </t>
  </si>
  <si>
    <t>GODOY CRUZ N° 1770 - CABA</t>
  </si>
  <si>
    <t>AB945CV</t>
  </si>
  <si>
    <t>SURAN 1.6 5D 060</t>
  </si>
  <si>
    <t>NOLASCO VANESA SOLEDAD</t>
  </si>
  <si>
    <t>MATANZA 1194 - AVELLANEDA</t>
  </si>
  <si>
    <t>TOCAS MUÑOZ JOSE</t>
  </si>
  <si>
    <t>KYW956</t>
  </si>
  <si>
    <t>FLUENCE 2.0 16 V LUXE</t>
  </si>
  <si>
    <t>SEDAN 4 PTAS</t>
  </si>
  <si>
    <t>QUATTRONE ANGEL ALBERTO</t>
  </si>
  <si>
    <t>MANSILLA  N° 5687 - WILDE - AVELLANEDA</t>
  </si>
  <si>
    <t>ODS799</t>
  </si>
  <si>
    <t>SURAN 1.6 5L 5P 766</t>
  </si>
  <si>
    <t>LOPEZ DIEGO GABRIEL</t>
  </si>
  <si>
    <t>SARGENTO CABRAL N° 955</t>
  </si>
  <si>
    <t>PPU807</t>
  </si>
  <si>
    <t>PALIO FIRE 1.4 5P</t>
  </si>
  <si>
    <t>QUEVEDO CESAR</t>
  </si>
  <si>
    <t>GRAL. JOSE G. ARTIGAS N° 2293 - CABA</t>
  </si>
  <si>
    <t>LOSADA FLOREZ JAVIER</t>
  </si>
  <si>
    <t>PKI928</t>
  </si>
  <si>
    <t>SIENA 1.4 EL</t>
  </si>
  <si>
    <t>HERNANDEZ LUIS ANSELMO</t>
  </si>
  <si>
    <t>SANTA MAGDALENA 715 CABA</t>
  </si>
  <si>
    <t>LMT495</t>
  </si>
  <si>
    <t>MERCEDES BENZ</t>
  </si>
  <si>
    <t>C200 BLUE EFFICIENCY</t>
  </si>
  <si>
    <t>PEREYRA PABLO BERNABE</t>
  </si>
  <si>
    <t>78 N° 1375 - LA PLATA</t>
  </si>
  <si>
    <t>PQK330</t>
  </si>
  <si>
    <t>CLASSIC 4 P LS ABS + AIRBAG 1.4N</t>
  </si>
  <si>
    <t>BRAMBATI ALBERTO DANIEL</t>
  </si>
  <si>
    <t>O GORMAN 3084 - CABA</t>
  </si>
  <si>
    <t>MORALES EMANUEL MATIAS</t>
  </si>
  <si>
    <t>AD952OL</t>
  </si>
  <si>
    <t>MOBI 1.0 8V EASY</t>
  </si>
  <si>
    <t>SEDAN 5 PTAS</t>
  </si>
  <si>
    <t>DE LA TORRE MARIANO GABRIEL</t>
  </si>
  <si>
    <t>LA RIOJA 2158 - CABA</t>
  </si>
  <si>
    <t>JVF243</t>
  </si>
  <si>
    <t>ASTRA GLS 2.0</t>
  </si>
  <si>
    <t>GALLARDO PRADO ENRIQUE</t>
  </si>
  <si>
    <t>AVELLANEDA 4961 - ALTE. BROWN</t>
  </si>
  <si>
    <t>LBS359</t>
  </si>
  <si>
    <t>SURAN 1.6L 5D 166</t>
  </si>
  <si>
    <t>FELIX DANIEL LUIS</t>
  </si>
  <si>
    <t>DEAN FUNES 3395 - LANUS OESTE</t>
  </si>
  <si>
    <t>NGB691</t>
  </si>
  <si>
    <t>CLASS</t>
  </si>
  <si>
    <t>RUIZ LUCIANO EZEQUIEL</t>
  </si>
  <si>
    <t>LA MERCED 333 - ENSENADA</t>
  </si>
  <si>
    <t>AC535KW</t>
  </si>
  <si>
    <t>SIENA</t>
  </si>
  <si>
    <t>GONSESKI MARISA ESTELA</t>
  </si>
  <si>
    <t>JOSE MARIA MORENO 450 - LANUS OESTE</t>
  </si>
  <si>
    <t>CHIODIN NESTOR OMAR</t>
  </si>
  <si>
    <t>AF131NX</t>
  </si>
  <si>
    <t>FERNANDEZ FERNANDEZ RAMON</t>
  </si>
  <si>
    <t>REP. LIBANO 2276 -QUILMES</t>
  </si>
  <si>
    <t>LKE567</t>
  </si>
  <si>
    <t>CLASSIC 4 PTAS LT SPIRIT 1.4N</t>
  </si>
  <si>
    <t>RAGGI ANDRES JOSE</t>
  </si>
  <si>
    <t>CASTELLI 135 - QUILMES</t>
  </si>
  <si>
    <t>AE213RX</t>
  </si>
  <si>
    <t>SANDERO PH2 RS 2.0</t>
  </si>
  <si>
    <t>LOPEZ DAVID EFRAIN</t>
  </si>
  <si>
    <t>VERACRUZ 1348  DUPLEX 1 - LANUS ESTE</t>
  </si>
  <si>
    <t>AD380DK</t>
  </si>
  <si>
    <t>KWID ZEN 1.0</t>
  </si>
  <si>
    <t>CACERES CAMILA ANABEL</t>
  </si>
  <si>
    <t>CNO REAL NORTE 1810- GUTIERREZ- BERAZATEGUI</t>
  </si>
  <si>
    <t>GONZALEZ JOSE LUIS</t>
  </si>
  <si>
    <t>AF345IT</t>
  </si>
  <si>
    <t>RAMIREZ BLANCO RYAN YERMAIR</t>
  </si>
  <si>
    <t>J.M. DE LA SERNA 5963 PB. -AVELLANEDA</t>
  </si>
  <si>
    <t>LNG947</t>
  </si>
  <si>
    <t>CLASSIC 4 PTAS LS AA+DIR 14.4N</t>
  </si>
  <si>
    <t>PARRA CORDERO EDUARDO ENRIQUE</t>
  </si>
  <si>
    <t>PJE. TRIUNVIRATO 1944 - AVELLANEDA</t>
  </si>
  <si>
    <t>AE809LS</t>
  </si>
  <si>
    <t>LUONGO SEBASTIAN DARIO</t>
  </si>
  <si>
    <t>INCA 55 - LLAVALLOL- LOMAS DE ZAMORA</t>
  </si>
  <si>
    <t>AB995AW</t>
  </si>
  <si>
    <t>PRISMA 1.4N LTZ A/T</t>
  </si>
  <si>
    <t>D&amp;F</t>
  </si>
  <si>
    <t>VALLEJOS MATIAS JAVIER</t>
  </si>
  <si>
    <t>MILAN (MZA 47 CASA 30) 2330- FCIO. VARELA</t>
  </si>
  <si>
    <t>AD980XE</t>
  </si>
  <si>
    <t>CITROEN</t>
  </si>
  <si>
    <t>C4 LOUNGE VTI 115 LIVE AM</t>
  </si>
  <si>
    <t>SANGUINETTI RUBEN DARIO</t>
  </si>
  <si>
    <t>PJE. VIRASORO 2306 -CABA-</t>
  </si>
  <si>
    <t>AC669AS</t>
  </si>
  <si>
    <t>NISSAN</t>
  </si>
  <si>
    <t>VERSA SENSE AT PURE DRIVE F2</t>
  </si>
  <si>
    <t>MATOS QUINTANA NELSON RAMON</t>
  </si>
  <si>
    <t>CIUDADELA 426 1°10 - AVELLANEDA</t>
  </si>
  <si>
    <t>AF312VS</t>
  </si>
  <si>
    <t>LAGO LEANDRO</t>
  </si>
  <si>
    <t>COLON 3728 - RAFAEL CALZADA - ALTE. BROWN</t>
  </si>
  <si>
    <t>JAEN DANIEL ALBERTO</t>
  </si>
  <si>
    <t>OVU930</t>
  </si>
  <si>
    <t>SIENA (F4) EL 1.4 8V</t>
  </si>
  <si>
    <t>PASCUAL PABLO OSCAR</t>
  </si>
  <si>
    <t>DORREGO 2690 - SARANDI- AVELLANEDA</t>
  </si>
  <si>
    <t>OBD933</t>
  </si>
  <si>
    <t>SURAN 1.6L 5D 717</t>
  </si>
  <si>
    <t>SAN MARCO LIGIA MARINA</t>
  </si>
  <si>
    <t>AMEGHINO 1240 -BERNAL- QUILMES</t>
  </si>
  <si>
    <t>MARTINEZ VICTOR MANUEL</t>
  </si>
  <si>
    <t>AE805QP</t>
  </si>
  <si>
    <t>KANGOO II STEPWAY 1.6 SCE</t>
  </si>
  <si>
    <t>DOMINGUEZ MARCELO MARIO</t>
  </si>
  <si>
    <t>ZARATE 290 - SARANDI- AVELLANEDA</t>
  </si>
  <si>
    <t>AD798VE</t>
  </si>
  <si>
    <t>PRISMA JOY 4P 1.4 N LS MT+</t>
  </si>
  <si>
    <t>PIZZOLATTO ESZEQUIEL SANTIAGO</t>
  </si>
  <si>
    <t>AE133WT</t>
  </si>
  <si>
    <t>ETIOS XLS 1.5 GM/T</t>
  </si>
  <si>
    <t>BARRETO JULIO CESAR</t>
  </si>
  <si>
    <t>BASAVILBASO 1785 -GERLI- AVELLANEDA</t>
  </si>
  <si>
    <t>AE144BX</t>
  </si>
  <si>
    <t>ONIX PLUS 1.4 MT JOY</t>
  </si>
  <si>
    <t>PILLA GASTON EZEQUIEL</t>
  </si>
  <si>
    <t>DOMINGO PURITA 3895 - LANUS</t>
  </si>
  <si>
    <t>OVV118</t>
  </si>
  <si>
    <t>PALIO (326) ATTRACTIVE 5P 1.4 8V</t>
  </si>
  <si>
    <t>LOBO ESPINO AUGUSTO ANTONIO</t>
  </si>
  <si>
    <t>AE371WG</t>
  </si>
  <si>
    <t>SACCULLO OSVALDO MARTIN</t>
  </si>
  <si>
    <t>PICHINCHA 2420 - LANUS ESTE</t>
  </si>
  <si>
    <t>JDN331</t>
  </si>
  <si>
    <t>SANDERO 1.6 8V PACK</t>
  </si>
  <si>
    <t>D´ALESSANDRO RUBEN FABIAN ALBERTO</t>
  </si>
  <si>
    <t>OVI223</t>
  </si>
  <si>
    <t>C3 PICASSO 1.6 VTI 115 TEN. AM 15</t>
  </si>
  <si>
    <t>CASTRO DIEGO DARIO</t>
  </si>
  <si>
    <t>PJE. PEDRO DE MENDOZA 343 - AVELLANEDA</t>
  </si>
  <si>
    <t>AB852XM</t>
  </si>
  <si>
    <t>301 ALLURE 1.6 HDI</t>
  </si>
  <si>
    <t>ARENALES MARIA GABRIELA</t>
  </si>
  <si>
    <t>MORBIDONI MARCELO ARIEL</t>
  </si>
  <si>
    <t>AA493WQ</t>
  </si>
  <si>
    <t>PRISMA 1.4 N LT</t>
  </si>
  <si>
    <t>RODRIGUEZ OLIVARES MAURO HERNAN</t>
  </si>
  <si>
    <t>FALUCHO 4217 - BANFIELD- L. DE ZAMORA</t>
  </si>
  <si>
    <t>AF121ST</t>
  </si>
  <si>
    <t>CASTELLI 102 2°B - QUILMES</t>
  </si>
  <si>
    <t>FERNANDEZ MEDINA ABELARDO RAFAEL</t>
  </si>
  <si>
    <t>OKT616</t>
  </si>
  <si>
    <t>SOSA JUAN IGNACIO</t>
  </si>
  <si>
    <t>SOSA EDUARDO ADRIAN</t>
  </si>
  <si>
    <t>AD909RD</t>
  </si>
  <si>
    <t>VIRTUS TRENDLINE 1.6 MSI 110CV</t>
  </si>
  <si>
    <t>LLAMAS REINALES ROBERTO ALFONSO</t>
  </si>
  <si>
    <t>FCIO. VARELA 777 1°B - GERLI- LANUS</t>
  </si>
  <si>
    <t>PAM743</t>
  </si>
  <si>
    <t>PEREZ CLAUDIO FABIAN</t>
  </si>
  <si>
    <t>CASEROS 617 - LOMAS DE ZAMORA</t>
  </si>
  <si>
    <t>IYF654</t>
  </si>
  <si>
    <t>SIENA ELX 4P 1.4RSTIII BZ EOBD</t>
  </si>
  <si>
    <t>VERA GASTON EDGARDO</t>
  </si>
  <si>
    <t>JOSE LEON SUAREZ 2840 - LANUS</t>
  </si>
  <si>
    <t>KGL424</t>
  </si>
  <si>
    <t xml:space="preserve">SYMBOL PACK 1.6 16V </t>
  </si>
  <si>
    <t>MUNT MAQUEIRA NICOLAS JORGE</t>
  </si>
  <si>
    <t>SALTA 890 - SAN PEDRO</t>
  </si>
  <si>
    <t>AB013LU</t>
  </si>
  <si>
    <t>C4 LOUNGE HDI 115 MT6 FEEL PACK</t>
  </si>
  <si>
    <t>MONTENEGRO WALTER RICARDO</t>
  </si>
  <si>
    <t>FCIO. VARELA 1052 - LANUS</t>
  </si>
  <si>
    <t>OBN708</t>
  </si>
  <si>
    <t>CNEL. SEGUI 860 - LANÚS</t>
  </si>
  <si>
    <t>GABRIELA ANA PRAMPOLINI</t>
  </si>
  <si>
    <t>JMW001</t>
  </si>
  <si>
    <t>KANGOO SPORTWAY 1.6 ABCP 2P</t>
  </si>
  <si>
    <t>LA ESTACIÓN</t>
  </si>
  <si>
    <t>JUAREZ ALEJANDRO ENRIQUE</t>
  </si>
  <si>
    <t>FLORIDA 829 VALENTIN ALSINA - LANUS</t>
  </si>
  <si>
    <t>AA840DA</t>
  </si>
  <si>
    <t>SURAN 1.6 5D 175</t>
  </si>
  <si>
    <t>1° DE MAYO</t>
  </si>
  <si>
    <t>KOLOSZUK SERGIO</t>
  </si>
  <si>
    <t>BOQUERON 2740- LANUS</t>
  </si>
  <si>
    <t>AF505JN</t>
  </si>
  <si>
    <t>CRONOS PRECISION 1.3 GSE CVT BZ</t>
  </si>
  <si>
    <t>GALLARDO PRADO ENRIQUE EUGENIO</t>
  </si>
  <si>
    <t>AF617RR</t>
  </si>
  <si>
    <t>CRONOS DRIVE 1.3 GSE BZ</t>
  </si>
  <si>
    <t>TUSANOTTE LUIS ALBERTO</t>
  </si>
  <si>
    <t>BRANDSEN 4623 -V.DOMINICO- AVELLANEDA</t>
  </si>
  <si>
    <t>KVG059</t>
  </si>
  <si>
    <t>LOGAN AUTHENTIQUE 1.6 PACK I</t>
  </si>
  <si>
    <t>GIACUMBO MARIA VICTORIA</t>
  </si>
  <si>
    <t>GRAL DEHEZA 3350 R. DE ESCALADA- LANUS</t>
  </si>
  <si>
    <t>JTU530</t>
  </si>
  <si>
    <t>KANGOO AUTH.PLUS 1.6 DA AA CD PK 2P</t>
  </si>
  <si>
    <t>LA ESTACION</t>
  </si>
  <si>
    <t>BERMUDEZ 236- BURZACO</t>
  </si>
  <si>
    <t>AB479TP</t>
  </si>
  <si>
    <t xml:space="preserve">NUEVO LOGAN PRIVILEGE 1.6 16V </t>
  </si>
  <si>
    <t>ACEVEDO DAMARIS MICAELA</t>
  </si>
  <si>
    <t>AF567GX</t>
  </si>
  <si>
    <t>FERNANDEZ EMILIANO RAUL</t>
  </si>
  <si>
    <t>GENOVA 2700- SARANDI- AVELLANEDA</t>
  </si>
  <si>
    <t>AA233XD</t>
  </si>
  <si>
    <t>VOYAGE 1.6</t>
  </si>
  <si>
    <t>CLEMENTE SANCHEZ JUAN RAMON</t>
  </si>
  <si>
    <t>CARLOS CALVO 3577 - CABA</t>
  </si>
  <si>
    <t>AF663PF</t>
  </si>
  <si>
    <t>MARTINOLI MARCELO PEDRO</t>
  </si>
  <si>
    <t>MAHATMA GANDHI 632 PB 1 - CABA</t>
  </si>
  <si>
    <t>KZS735</t>
  </si>
  <si>
    <t>SIENA FIRE 4P 1.4MPI 8V</t>
  </si>
  <si>
    <t>ROBLES LUCAS EDUARDO</t>
  </si>
  <si>
    <t>MADEO NICOLAS</t>
  </si>
  <si>
    <t>AD663TA</t>
  </si>
  <si>
    <t>POLO TRENDLINE 1.6 MSI 110CV</t>
  </si>
  <si>
    <t>VALLEJO OSCAR HORACIO</t>
  </si>
  <si>
    <t>ALBARRACIN 1878 - TEMPERLEY</t>
  </si>
  <si>
    <t>KAH488</t>
  </si>
  <si>
    <t>FLUENCE 1.6 16V CONFORT</t>
  </si>
  <si>
    <t>SIMON ALAN YAMIL</t>
  </si>
  <si>
    <t>BUERAS 3823- MONTE CHINGOLO - LANUS</t>
  </si>
  <si>
    <t>AE736BY</t>
  </si>
  <si>
    <t>PEYTON JOSE LUIS</t>
  </si>
  <si>
    <t>ALVEAR 3347- LANUS</t>
  </si>
  <si>
    <t>AF579LS</t>
  </si>
  <si>
    <t>BERLINGO MULTISPACE HDI 92 XTR AM22</t>
  </si>
  <si>
    <t>QUISPE MAMANI GUADALUPE</t>
  </si>
  <si>
    <t>VEDIA ALVARADO ADOLFO DAMIAN</t>
  </si>
  <si>
    <t>OEI814</t>
  </si>
  <si>
    <t>FORD</t>
  </si>
  <si>
    <t>FOCUS 5P 1.6L N MT S</t>
  </si>
  <si>
    <t>NOGUERA JULIO MARTIN</t>
  </si>
  <si>
    <t>AV. BELGRANO 495 7°G - AVELLANEDA</t>
  </si>
  <si>
    <t>AD684XZ</t>
  </si>
  <si>
    <t>UNO WAY 1.3</t>
  </si>
  <si>
    <t>NATARIO LARA AGUSTINA</t>
  </si>
  <si>
    <t>NATARIO JORGE ALBERTO</t>
  </si>
  <si>
    <t>JDM991</t>
  </si>
  <si>
    <t>COROLLA XEI 1.8 M/T</t>
  </si>
  <si>
    <t>FELICE FAVIO EZEQUIEL</t>
  </si>
  <si>
    <t>CALLE 185 N°583 - OLMOS- LA PLATA</t>
  </si>
  <si>
    <t>AC499DA</t>
  </si>
  <si>
    <t>PRAMPOLINI GABRIELA ANA</t>
  </si>
  <si>
    <t>SEGUI 860 - LANUS</t>
  </si>
  <si>
    <t>MOLINI IGNACIO</t>
  </si>
  <si>
    <t>AB356QR</t>
  </si>
  <si>
    <t>SIENA EL 1.4</t>
  </si>
  <si>
    <t>HERNANDEZ GONZALEZ EDINSON FABIAN</t>
  </si>
  <si>
    <t>CHACABUCO 1486 - CABA</t>
  </si>
  <si>
    <t>AB517JE</t>
  </si>
  <si>
    <t>NUEVO LOGAN EXPRESSION  1.6</t>
  </si>
  <si>
    <t>HERNANDEZ GONZALEZ FREDY ALEXANDER</t>
  </si>
  <si>
    <t>PIEDRAS 1297 2°K</t>
  </si>
  <si>
    <t>PFD362</t>
  </si>
  <si>
    <t>MACHADO TRUJILLO ABRAHAM JOSUE</t>
  </si>
  <si>
    <t>BENITO JUAREZ 3598 V. LYNCH - SAN MARTIN</t>
  </si>
  <si>
    <t>AE999VJ</t>
  </si>
  <si>
    <t>DE LA FUENTE ALEJANDRO DAMIAN</t>
  </si>
  <si>
    <t>SAAVEDRA 2099 - SAN MARTIN</t>
  </si>
  <si>
    <t>AB303SH</t>
  </si>
  <si>
    <t>KA SEDAN S</t>
  </si>
  <si>
    <t>HERRERA GERMAN EDUARDO</t>
  </si>
  <si>
    <t>AF734JJ</t>
  </si>
  <si>
    <t>GODOY ROQUE HORACIO</t>
  </si>
  <si>
    <t>BENAVIDEZ 1809 - MONTE GRANDE- E. ECHEVERRIA</t>
  </si>
  <si>
    <t>AB397WJ</t>
  </si>
  <si>
    <t>C4 LOUNGE THP 165 AT6 FEEL</t>
  </si>
  <si>
    <t>ARANDA LUCIOCO ANA KAREN</t>
  </si>
  <si>
    <t>CONSTITUCION 4030 - CABA</t>
  </si>
  <si>
    <t>GOMEZ FRANCISCO ANTONIO</t>
  </si>
  <si>
    <t>LWG565</t>
  </si>
  <si>
    <t>CLASSIC 4P LS A+D SPIRIT 1.4N</t>
  </si>
  <si>
    <t>GIANOLI KARINA ANDREA</t>
  </si>
  <si>
    <t>TORMAKH YAMIL</t>
  </si>
  <si>
    <t>AB632NF</t>
  </si>
  <si>
    <t>CAPTUR INTENS 2.0</t>
  </si>
  <si>
    <t>NVH497</t>
  </si>
  <si>
    <t>UNO WAY 1.4 8V</t>
  </si>
  <si>
    <t>MEZA MARCELA ALEJANDRA</t>
  </si>
  <si>
    <t>DIAZ RAMON OSCAR</t>
  </si>
  <si>
    <t>AF863IO</t>
  </si>
  <si>
    <t>PEREYRA JORGE RUBEN</t>
  </si>
  <si>
    <t>JUJUY 3565 10 - QUILMES</t>
  </si>
  <si>
    <t>PEREYRA MARIANO RUBEN</t>
  </si>
  <si>
    <t>PBR425</t>
  </si>
  <si>
    <t>RUIZ GUILLERMO</t>
  </si>
  <si>
    <t>AB813NB</t>
  </si>
  <si>
    <t>C-ELYSEE VTI 115 FEEL AM18</t>
  </si>
  <si>
    <t>LABROCA MIGUEL ANGEL</t>
  </si>
  <si>
    <t>VIEL 1259 - CABA</t>
  </si>
  <si>
    <t>KNH590</t>
  </si>
  <si>
    <t>AGUIRRE GLADYS RAQUEL</t>
  </si>
  <si>
    <t>PTE. RAUL ALFONSIN 1733- LANUS ESTE</t>
  </si>
  <si>
    <t>KLD885</t>
  </si>
  <si>
    <t>AGILE 5P 1.4 LT</t>
  </si>
  <si>
    <t>AB055YB</t>
  </si>
  <si>
    <t>PFD556</t>
  </si>
  <si>
    <t>EXPERT 1.6 HDI CONFORT</t>
  </si>
  <si>
    <t>FURGONETA</t>
  </si>
  <si>
    <t>ABELAIRA RODRIGO</t>
  </si>
  <si>
    <t>FORMOSA 1159 - LANUS</t>
  </si>
  <si>
    <t>PJU829</t>
  </si>
  <si>
    <t xml:space="preserve">DUSTER PH2 DYNAMIQUE 1.6 </t>
  </si>
  <si>
    <t>ALMADA OSCAR FAUSTINO</t>
  </si>
  <si>
    <t>M. DIOMEDES 2531 - BURZACO - ALTE. BROWN</t>
  </si>
  <si>
    <t>AF769HQ</t>
  </si>
  <si>
    <t>SENA DIONISIO</t>
  </si>
  <si>
    <t>BULNES 680 9°D- CABA</t>
  </si>
  <si>
    <t>NMU744</t>
  </si>
  <si>
    <t>CLASSIC 4P LT PACK 1.4N</t>
  </si>
  <si>
    <t>PRESAS MARCELO DIEGO</t>
  </si>
  <si>
    <t>BRASIL 2117 - V. ALSINA- LANÚS</t>
  </si>
  <si>
    <t>MMD854</t>
  </si>
  <si>
    <t>PARTNER PATAGONICA  HDI 1.6 VTC PLUS</t>
  </si>
  <si>
    <t>LEU HUGO RUBEN</t>
  </si>
  <si>
    <t>AF182PV</t>
  </si>
  <si>
    <t>CHERY</t>
  </si>
  <si>
    <t>ARRIZO 5 1.5 LUXURY CVT</t>
  </si>
  <si>
    <t>RODRIGUEZ CLAUDIA GRACIELA</t>
  </si>
  <si>
    <t>CHACO 1262 PB.4- LANUS</t>
  </si>
  <si>
    <t>SEREIN SERGIO FABIAN</t>
  </si>
  <si>
    <t>AD540BC</t>
  </si>
  <si>
    <t>SPIN ACTIV 1.8N M/T</t>
  </si>
  <si>
    <t>RAMIREZ ARIEL CARLOS</t>
  </si>
  <si>
    <t>CARLOS PELLEGRINI 1034- MONTE GRANDE</t>
  </si>
  <si>
    <t>AD080XX</t>
  </si>
  <si>
    <t>PRADOS CLAUDIO DANIEL</t>
  </si>
  <si>
    <t>LOBO KAREN</t>
  </si>
  <si>
    <t>EUSKADI 2516- V. ALBERTINA- L. DE ZAMORA</t>
  </si>
  <si>
    <t>GONZALEZ EMMANUEL EZEQUIEL</t>
  </si>
  <si>
    <t>NAP909</t>
  </si>
  <si>
    <t>FOCUS TREND 1.6L NAFTA</t>
  </si>
  <si>
    <t>SANTA MAGDALENA 715- CABA</t>
  </si>
  <si>
    <t>AF579VC</t>
  </si>
  <si>
    <t>PLASENCIA MIGUEL ANGEL</t>
  </si>
  <si>
    <t>DR. MELO 2968 5°A- LANUS</t>
  </si>
  <si>
    <t>MQK860</t>
  </si>
  <si>
    <t>CLASSIC 4P LT SPIRIT PACK 1.4N</t>
  </si>
  <si>
    <t>AA824BH</t>
  </si>
  <si>
    <t xml:space="preserve">C3 90 FEEL </t>
  </si>
  <si>
    <t>VIDAL SUSANA ESTHER</t>
  </si>
  <si>
    <t>M. OCAMPO 3181- LANUS</t>
  </si>
  <si>
    <t>KANGOO CONFORT 1.6 CD SVT 1PL 600KG 2011</t>
  </si>
  <si>
    <t>FAMILIAR</t>
  </si>
  <si>
    <t>FIRST</t>
  </si>
  <si>
    <t>CHASCOMUS 1871- LANUS</t>
  </si>
  <si>
    <t>RISSO SEBASTIAN ANGEL</t>
  </si>
  <si>
    <t>ZULOAGA 531- LANUS</t>
  </si>
  <si>
    <t>AE603JA</t>
  </si>
  <si>
    <t>CRUZE 4P 1.4T LT MT</t>
  </si>
  <si>
    <t>BELLUATI GONZALO FEDERICO</t>
  </si>
  <si>
    <t>VEDOYA 3979- LANUS</t>
  </si>
  <si>
    <t>PQY403</t>
  </si>
  <si>
    <t>CLIO MIO 5P DYNAMIQUE MY16</t>
  </si>
  <si>
    <t>LEON JOSE HECTOR</t>
  </si>
  <si>
    <t>AV. BELGRANO 2049 2°8- CABA</t>
  </si>
  <si>
    <t>AB838PH</t>
  </si>
  <si>
    <t>COROLLA SE-G 1.8 CVT</t>
  </si>
  <si>
    <t>PATAGONIA TRANSFER</t>
  </si>
  <si>
    <t>OEQ073</t>
  </si>
  <si>
    <t xml:space="preserve">COBALT 1.8 N LTZ </t>
  </si>
  <si>
    <t>DELTA</t>
  </si>
  <si>
    <t>340C</t>
  </si>
  <si>
    <t>378C</t>
  </si>
  <si>
    <t xml:space="preserve">RESOLUCION </t>
  </si>
  <si>
    <t>Transporte Escolar</t>
  </si>
  <si>
    <t>KURA MARIA CRISTINA</t>
  </si>
  <si>
    <t>INL764</t>
  </si>
  <si>
    <t>BMO 368 VERSION 1618L/55 CA</t>
  </si>
  <si>
    <t>OMNIBUS</t>
  </si>
  <si>
    <t>068-0007</t>
  </si>
  <si>
    <t>DMY588</t>
  </si>
  <si>
    <t>DIMEX</t>
  </si>
  <si>
    <t>D 1422 T</t>
  </si>
  <si>
    <t>MICROOMNIBUS</t>
  </si>
  <si>
    <t>MOS-HTE-000055-2022</t>
  </si>
  <si>
    <t>AMARILLA LIDIA ROSA</t>
  </si>
  <si>
    <t>IEF752</t>
  </si>
  <si>
    <t>OF-1722</t>
  </si>
  <si>
    <t>30-71241947-0</t>
  </si>
  <si>
    <t>JPR814</t>
  </si>
  <si>
    <t>SPRINTER  413 CDI/C 4025</t>
  </si>
  <si>
    <t>MINIBUS</t>
  </si>
  <si>
    <t>068-0011</t>
  </si>
  <si>
    <t>068-0012</t>
  </si>
  <si>
    <t>GVX221</t>
  </si>
  <si>
    <t>AGRALE</t>
  </si>
  <si>
    <t>MT 12.0 LE</t>
  </si>
  <si>
    <t>PALLERO JAVIER ALEJANDRO</t>
  </si>
  <si>
    <t>ARAGON 898 - LLAVALLOL</t>
  </si>
  <si>
    <t>GTI837</t>
  </si>
  <si>
    <t>BMO  390 VERSION 1315L</t>
  </si>
  <si>
    <t>TRANSP. PASAJEROS</t>
  </si>
  <si>
    <t>FPH673</t>
  </si>
  <si>
    <t>OF-1417</t>
  </si>
  <si>
    <t>TRANSPORTE DE PASAJEROS</t>
  </si>
  <si>
    <t>068-0024</t>
  </si>
  <si>
    <t>RIZZO MAURO LEONEL</t>
  </si>
  <si>
    <t>KFS366</t>
  </si>
  <si>
    <t>O 500 U</t>
  </si>
  <si>
    <t>KOCH EDUARDO OSCAR</t>
  </si>
  <si>
    <t>RIVADAVIA 2282 - LANUS</t>
  </si>
  <si>
    <t>MQV915</t>
  </si>
  <si>
    <t>DUCATO  CARGO 2.3 JTD</t>
  </si>
  <si>
    <t>DOMINGO PURITA 4171 - MONTE CHINGOLO- LANUS</t>
  </si>
  <si>
    <t>HDD117</t>
  </si>
  <si>
    <t>PASCAL CLAUDIO AURELIO</t>
  </si>
  <si>
    <t>HSA994</t>
  </si>
  <si>
    <t>BMO 384 VERSION 1418 /52 CM</t>
  </si>
  <si>
    <t>IVY852</t>
  </si>
  <si>
    <t>068-0036</t>
  </si>
  <si>
    <t>LVL071</t>
  </si>
  <si>
    <t>GRAL. VERGARA N° 3342</t>
  </si>
  <si>
    <t>GJI904</t>
  </si>
  <si>
    <t>OF-1418</t>
  </si>
  <si>
    <t>CUEVA FABIANA ELIZABETH</t>
  </si>
  <si>
    <t>GUARRACINO 2007- LANUS</t>
  </si>
  <si>
    <t>EWB309</t>
  </si>
  <si>
    <t>MOS-HTE-000052-2022</t>
  </si>
  <si>
    <t>068-0044</t>
  </si>
  <si>
    <t>GYT278</t>
  </si>
  <si>
    <t>MOS HTE-000032-2022</t>
  </si>
  <si>
    <t>MANCINI MARIANO ANDRES</t>
  </si>
  <si>
    <t>OSORIO 3130 - LANUS</t>
  </si>
  <si>
    <t>MAX918</t>
  </si>
  <si>
    <t>SPRINTER 415 CDI-C 3665 TE</t>
  </si>
  <si>
    <t>068-0049</t>
  </si>
  <si>
    <t>FLF755</t>
  </si>
  <si>
    <t>BMO 390 VERSION 1315L/52 CA</t>
  </si>
  <si>
    <t>MOS HTE-000025-2022</t>
  </si>
  <si>
    <t>068-0050</t>
  </si>
  <si>
    <t>FPC191</t>
  </si>
  <si>
    <t>DAMORE VICTOR RAUL</t>
  </si>
  <si>
    <t>GDOR. IRIGOYEN 461 2°</t>
  </si>
  <si>
    <t>HHT395</t>
  </si>
  <si>
    <t>MAURE LUCIANA ELENA</t>
  </si>
  <si>
    <t>MARCO AVELLANEDA 1450</t>
  </si>
  <si>
    <t>SCARAMAL DANIEL DARIO</t>
  </si>
  <si>
    <t>ICB870</t>
  </si>
  <si>
    <t>BMO 390  VERSION 1315L/52 CA</t>
  </si>
  <si>
    <t>TRANSP. DE PASAJEROS</t>
  </si>
  <si>
    <t>ROJAS CARLOS ALBERTO</t>
  </si>
  <si>
    <t>FRANCISCO GARCIA ROMERO 3605 - R. DE ESCALADA</t>
  </si>
  <si>
    <t>HTT537</t>
  </si>
  <si>
    <t>GVB352</t>
  </si>
  <si>
    <t>SEGOVIA ALEJANDRINA EDITH</t>
  </si>
  <si>
    <t>ANATOLE FRANCE 2234 8°B</t>
  </si>
  <si>
    <t>GWZ840</t>
  </si>
  <si>
    <t>BMO 390 VERSION 1315/52 CA</t>
  </si>
  <si>
    <t>IOD284</t>
  </si>
  <si>
    <t>HFO945</t>
  </si>
  <si>
    <t>VELARDEZ EDUARDO RAUL</t>
  </si>
  <si>
    <t>GABOTO N° 5835 - SAN JOSE</t>
  </si>
  <si>
    <t>KPA114</t>
  </si>
  <si>
    <t>SPRINTER 313 CDI/C 3550</t>
  </si>
  <si>
    <t>SALVATIERRA JUAN ALEJANDRO</t>
  </si>
  <si>
    <t>PEDERNERA 1215 - LANUS</t>
  </si>
  <si>
    <t>GCR759</t>
  </si>
  <si>
    <t>TRANSPORTE RIZZO AND CO. SAS</t>
  </si>
  <si>
    <t>30-71641718-9</t>
  </si>
  <si>
    <t>HQK427</t>
  </si>
  <si>
    <t>MOS-HTE-000048-2022</t>
  </si>
  <si>
    <t>MUMBACH MATIAS MIGUEL</t>
  </si>
  <si>
    <t>CHURRINCHE 3861 -TEMPERLEY- L. DE ZAMORA</t>
  </si>
  <si>
    <t>FAP364</t>
  </si>
  <si>
    <t>068-0102</t>
  </si>
  <si>
    <t>FTQ550</t>
  </si>
  <si>
    <t>TACUARI N° 1537 - LANUS OESTE</t>
  </si>
  <si>
    <t>IKD231</t>
  </si>
  <si>
    <t>068-0111</t>
  </si>
  <si>
    <t>LENCINA ANA MARIA</t>
  </si>
  <si>
    <t>BLAS PARERA 828- MONTE CHINGOLO- LANUS</t>
  </si>
  <si>
    <t>FLF740</t>
  </si>
  <si>
    <t>FRANK SONIA BEATRIZ</t>
  </si>
  <si>
    <t>YERBAL 2690 - REMEDIOS DE ESCALADA</t>
  </si>
  <si>
    <t>LENCINAS JULIO CESAR</t>
  </si>
  <si>
    <t>LGX731</t>
  </si>
  <si>
    <t>LVR194</t>
  </si>
  <si>
    <t>URUEÑA VICTOR HUGO</t>
  </si>
  <si>
    <t>ILR284</t>
  </si>
  <si>
    <t>SPRINTER 313 CDI /3550</t>
  </si>
  <si>
    <t>CAVIGLIA WALTER NORBERTO</t>
  </si>
  <si>
    <t>SUIPACHA 1036 - LANUS</t>
  </si>
  <si>
    <t>DNA803</t>
  </si>
  <si>
    <t>COASTER</t>
  </si>
  <si>
    <t>FAVRE ROBERTO MARCELO</t>
  </si>
  <si>
    <t>LLAVALLOL  N°1321 3 - LANUS OESTE</t>
  </si>
  <si>
    <t>INP795</t>
  </si>
  <si>
    <t>GONZALO BARBARA AGUSTINA</t>
  </si>
  <si>
    <t>LUIS VERNET 3741 - REMEDIOS DE ESCALADA - lANUS</t>
  </si>
  <si>
    <t>DTQ863</t>
  </si>
  <si>
    <t>BMO 390 VS  1115/46 - SB C.A.</t>
  </si>
  <si>
    <t>COZZOLINO MIGUEL ANGEL</t>
  </si>
  <si>
    <t>UGARTE N° 4119</t>
  </si>
  <si>
    <t>LDG345</t>
  </si>
  <si>
    <t>MASTER PH3 DCI 120 L2H2 PKCNF</t>
  </si>
  <si>
    <t>FPC192</t>
  </si>
  <si>
    <t>CHASIS SIN CABINA</t>
  </si>
  <si>
    <t>SOSA ALICIA ALEJANDRA</t>
  </si>
  <si>
    <t>EMS464</t>
  </si>
  <si>
    <t>BMO 390 VERSION 1115L/46 CA</t>
  </si>
  <si>
    <t>ISLANDIA N°3736</t>
  </si>
  <si>
    <t>KOZ513</t>
  </si>
  <si>
    <t>MANUEL OCAMPO 3248</t>
  </si>
  <si>
    <t>FQF627</t>
  </si>
  <si>
    <t>BAIO ALEJANDRA VERONICA</t>
  </si>
  <si>
    <t>AYACUCHO 2374 - LANUS ESTE</t>
  </si>
  <si>
    <t>GORINO FERNANDO LUIS</t>
  </si>
  <si>
    <t>FTN459</t>
  </si>
  <si>
    <t>MOS-HTE-000054-2022</t>
  </si>
  <si>
    <t>COLLADA ADRIAN LUIS</t>
  </si>
  <si>
    <t>UDAONDO 1813 - LANUS</t>
  </si>
  <si>
    <t>BVV495</t>
  </si>
  <si>
    <t>SPRINTER 310 D/C3000</t>
  </si>
  <si>
    <t>COMBI 3550</t>
  </si>
  <si>
    <t>MUSUMECI JORGE ALFREDO</t>
  </si>
  <si>
    <t>PORTELA 651 - LANUS</t>
  </si>
  <si>
    <t>GNT776</t>
  </si>
  <si>
    <t>SANGUINETTI MATIAS ESTEBAN</t>
  </si>
  <si>
    <t>CARABELAS 77- TEMPERLEY- L. DE ZAMORA</t>
  </si>
  <si>
    <t>GVK786</t>
  </si>
  <si>
    <t>MOS-HTE-000059-2022</t>
  </si>
  <si>
    <t>GPA985</t>
  </si>
  <si>
    <t>MOS-HTE-000060-2022</t>
  </si>
  <si>
    <t>CAMPERO SONIA MARIA</t>
  </si>
  <si>
    <t>VICO GABRIELA GISELE</t>
  </si>
  <si>
    <t>DRA012</t>
  </si>
  <si>
    <t>SPRINTER 310 D/C3550</t>
  </si>
  <si>
    <t>MOS-HTE-000061-2022</t>
  </si>
  <si>
    <t>GNK199</t>
  </si>
  <si>
    <t>MOS-HTE-000062-2022</t>
  </si>
  <si>
    <t>VICO FERNANDO ANGEL</t>
  </si>
  <si>
    <t>IAZ315</t>
  </si>
  <si>
    <t>SPRINTER 313 CDI/F 3550</t>
  </si>
  <si>
    <t>FURGON VIDRIADO C/ASIENTO</t>
  </si>
  <si>
    <t>MOS-HTE-000063-2022</t>
  </si>
  <si>
    <t>EYF343</t>
  </si>
  <si>
    <t>CSC065</t>
  </si>
  <si>
    <t>TRAFIC LARGO DIE. DA (F8Q)</t>
  </si>
  <si>
    <t>MOS-HTE-000065-2022</t>
  </si>
  <si>
    <t>GOROSITO JUAN MARCELO</t>
  </si>
  <si>
    <t>HEREDIA 5460 - WILDE</t>
  </si>
  <si>
    <t>GUO128</t>
  </si>
  <si>
    <t>MOS-HTE-000066-2022</t>
  </si>
  <si>
    <t>EAR423</t>
  </si>
  <si>
    <t>BMO390 VS 1115L/46CA</t>
  </si>
  <si>
    <t>MOS-HTE-000067-2022</t>
  </si>
  <si>
    <t>CUIÑA NAIARA ANTONELLA</t>
  </si>
  <si>
    <t>ARIAS 2935 - LANUS ESTE</t>
  </si>
  <si>
    <t>HMQ369</t>
  </si>
  <si>
    <t>MOS-HTE-000068-2022</t>
  </si>
  <si>
    <t>BELLINI RAMON DANIEL</t>
  </si>
  <si>
    <t>FVL914</t>
  </si>
  <si>
    <t xml:space="preserve">OF1712 </t>
  </si>
  <si>
    <t>MOS-HTE-000070-2022</t>
  </si>
  <si>
    <t>068-0001/23</t>
  </si>
  <si>
    <t>IRQ873</t>
  </si>
  <si>
    <t>SPRINTER 413 CDI/C 4025</t>
  </si>
  <si>
    <t>MOS-HTE-000001-2023</t>
  </si>
  <si>
    <t>068-0002/23</t>
  </si>
  <si>
    <t>KZP014</t>
  </si>
  <si>
    <t>MOS-HTE-000002-2023</t>
  </si>
  <si>
    <t>068-0017/23</t>
  </si>
  <si>
    <t>MOS-HTE-000003-2023</t>
  </si>
  <si>
    <t>068-0030/23</t>
  </si>
  <si>
    <t>COSENTINO JUAN DANIEL</t>
  </si>
  <si>
    <t>MORENO 1977 - LANUS OESTE</t>
  </si>
  <si>
    <t>GHP328</t>
  </si>
  <si>
    <t>MOS-HTE-000004-2023</t>
  </si>
  <si>
    <t>068-0051/23</t>
  </si>
  <si>
    <t>CLAVERO MARTA BEATRIZ</t>
  </si>
  <si>
    <t>MORENO 1979 - LANUS OESTE</t>
  </si>
  <si>
    <t>HSO868</t>
  </si>
  <si>
    <t>MOS-HTE-000005-2023</t>
  </si>
  <si>
    <t>068-0182/23</t>
  </si>
  <si>
    <t>FLS391</t>
  </si>
  <si>
    <t>MOS-HTE-000006-2023</t>
  </si>
  <si>
    <t>068-0095/23</t>
  </si>
  <si>
    <t>GABOTO 5835 - SAN JOSE</t>
  </si>
  <si>
    <t>MOS-HTE-000007-2023</t>
  </si>
  <si>
    <t>068-0022/23</t>
  </si>
  <si>
    <t>PEREIRA VASCONCELLOS NILDA GISEL</t>
  </si>
  <si>
    <t>PICHINCHA 3193 LANUS ESTE</t>
  </si>
  <si>
    <t>MOS-HTE-000008-2023</t>
  </si>
  <si>
    <t>068-0113/23</t>
  </si>
  <si>
    <t>MOS-HTE-000009-2023</t>
  </si>
  <si>
    <t>068-0020/23</t>
  </si>
  <si>
    <t>BMO  390 VERSION 1315L/52CA</t>
  </si>
  <si>
    <t>MOS-HTE-000010-2023</t>
  </si>
  <si>
    <t>068-0025/23</t>
  </si>
  <si>
    <t>MOS-HTE-000011-2023</t>
  </si>
  <si>
    <t>068-0092/23</t>
  </si>
  <si>
    <t>MOS-HTE-000012-2023</t>
  </si>
  <si>
    <t>068-0062/23</t>
  </si>
  <si>
    <t>MERDECES BENZ</t>
  </si>
  <si>
    <t>MOS-HTE-000013-2023</t>
  </si>
  <si>
    <t>068-0028/23</t>
  </si>
  <si>
    <t>OLIVARES MARCELO BENITO</t>
  </si>
  <si>
    <t>MOS-HTE-000014-2023</t>
  </si>
  <si>
    <t>068-0152/23</t>
  </si>
  <si>
    <t>MOS-HTE-000015-2023</t>
  </si>
  <si>
    <t>068-0193/23</t>
  </si>
  <si>
    <t>GUMA GERARDO DANIEL</t>
  </si>
  <si>
    <t>MANUEL OCAMPO 3248 - LANUS</t>
  </si>
  <si>
    <t>MIDIBUS</t>
  </si>
  <si>
    <t>MOS-HTE-000016-2023</t>
  </si>
  <si>
    <t>068-0010/23</t>
  </si>
  <si>
    <t>EY WAIS SRL</t>
  </si>
  <si>
    <t>COLON N°1061 - LANUS</t>
  </si>
  <si>
    <t>MOS-HTE-000017-2023</t>
  </si>
  <si>
    <t>068-0037/23</t>
  </si>
  <si>
    <t>RODRIGUEZ ANTONIA ELSA</t>
  </si>
  <si>
    <t>WARNES 2611- LANUS</t>
  </si>
  <si>
    <t>TAVERNISE HECTOR</t>
  </si>
  <si>
    <t>HMO782</t>
  </si>
  <si>
    <t>MOS-HTE-000018-2023</t>
  </si>
  <si>
    <t>068-0125/23</t>
  </si>
  <si>
    <t>LA RIOJA 687 - SAN JOSE- ADROGUE- ALTE. BROWN</t>
  </si>
  <si>
    <t>MOS-HTE-000019-2023</t>
  </si>
  <si>
    <t>068-0035/23</t>
  </si>
  <si>
    <t>OLIVARES PABLO EZEQUIEL</t>
  </si>
  <si>
    <t>HGD000</t>
  </si>
  <si>
    <t>MOS-HTE-000020-2023</t>
  </si>
  <si>
    <t>068-0034/23</t>
  </si>
  <si>
    <t>LUIS VERNET 3302 - R. DE ESCALADA - LANUS</t>
  </si>
  <si>
    <t>MOS-HTE-000021-2023</t>
  </si>
  <si>
    <t>068-0033/23</t>
  </si>
  <si>
    <t>MOS-HTE-000022-2023</t>
  </si>
  <si>
    <t>068-0031/23</t>
  </si>
  <si>
    <t>CANEPA DANIEL ALBERTO</t>
  </si>
  <si>
    <t>AV. INDEPENDENCIA 2257 14°D- CABA</t>
  </si>
  <si>
    <t>HEA154</t>
  </si>
  <si>
    <t>JUMPER 2.8HDI</t>
  </si>
  <si>
    <t>MINIBUS VIDRIADO C/ASIENTOS</t>
  </si>
  <si>
    <t>MOS-HTE-000023-2023</t>
  </si>
  <si>
    <t>068-0114/23</t>
  </si>
  <si>
    <t>MOS-HTE-000024-2023</t>
  </si>
  <si>
    <t>068-0115/23</t>
  </si>
  <si>
    <t>MOS-HTE-000025-2023</t>
  </si>
  <si>
    <t>068-0165/23</t>
  </si>
  <si>
    <t>MOS-HTE-000026-2023</t>
  </si>
  <si>
    <t>068-0177/23</t>
  </si>
  <si>
    <t>ALFERO RICARDO ENRIQUE</t>
  </si>
  <si>
    <t>MOS-HTE-000027-2023</t>
  </si>
  <si>
    <t>068-0069/23</t>
  </si>
  <si>
    <t>F. GARCIA ROMERO 3605 - R. DE ESCALADA</t>
  </si>
  <si>
    <t>MOS-HTE-000028-2023</t>
  </si>
  <si>
    <t>068-0107/23</t>
  </si>
  <si>
    <t>ALFERO DIEGO OMAR</t>
  </si>
  <si>
    <t>JIY091</t>
  </si>
  <si>
    <t>BMO 368 VERSION 1618/55CA</t>
  </si>
  <si>
    <t>MOS-HTE-000029-2023</t>
  </si>
  <si>
    <t>068-0045/23</t>
  </si>
  <si>
    <t xml:space="preserve">MINIBUS </t>
  </si>
  <si>
    <t>MOS-HTE-000030-2023</t>
  </si>
  <si>
    <t>068-0143/23</t>
  </si>
  <si>
    <t>LLAVALLOL 1321 DTO° 3 - LANUS OESTE</t>
  </si>
  <si>
    <t>MOS-HTE-000031-2023</t>
  </si>
  <si>
    <t>068-0008/23</t>
  </si>
  <si>
    <t>FUL796</t>
  </si>
  <si>
    <t>MOS-HTE-000032-2023</t>
  </si>
  <si>
    <t>068-0190/23</t>
  </si>
  <si>
    <t>MOS-HTE-000033-2023</t>
  </si>
  <si>
    <t>068-0013/23</t>
  </si>
  <si>
    <t>KAZ661</t>
  </si>
  <si>
    <t>MOS-HTE-000035-2023</t>
  </si>
  <si>
    <t>068-0077/23</t>
  </si>
  <si>
    <t>SALVADORI RODRIGO HERNAN</t>
  </si>
  <si>
    <t>M.MAZA 1169 - LANUS</t>
  </si>
  <si>
    <t>MOS-HTE-000034-2023</t>
  </si>
  <si>
    <t>068-0184/23</t>
  </si>
  <si>
    <t>MOS-HTE-000036-2023</t>
  </si>
  <si>
    <t>068-0039/23</t>
  </si>
  <si>
    <t>TRIPODI LILIANA SARA</t>
  </si>
  <si>
    <t>GDOR. VERGARA 3342 - R. DE ESCALADA</t>
  </si>
  <si>
    <t>MOS-HTE-000037-2023</t>
  </si>
  <si>
    <t>068-0139/23</t>
  </si>
  <si>
    <t>MOS-HTE-000038-2023</t>
  </si>
  <si>
    <t>068-0055/23</t>
  </si>
  <si>
    <t>TIMPANO LEONOR</t>
  </si>
  <si>
    <t>JUNCAL 2895- LANUS</t>
  </si>
  <si>
    <t>GVF536</t>
  </si>
  <si>
    <t>MOS-HTE-000039-2023</t>
  </si>
  <si>
    <t>068-0056/23</t>
  </si>
  <si>
    <t>MOS-HTE-000040-2023</t>
  </si>
  <si>
    <t>068-0005/23</t>
  </si>
  <si>
    <t>SALADILLO 151 - LOMAS DE ZAMORA</t>
  </si>
  <si>
    <t>MOS HTE-000041-2023</t>
  </si>
  <si>
    <t>068-0096/23</t>
  </si>
  <si>
    <t>F GARCIA ROMERO 3605 - R. DE ESCALADA</t>
  </si>
  <si>
    <t>KSI903</t>
  </si>
  <si>
    <t>MT 15.0 LE</t>
  </si>
  <si>
    <t>MOS-HTE-000042-2023</t>
  </si>
  <si>
    <t>068-0071/23</t>
  </si>
  <si>
    <t>OTTONE CARLOS MIGUEL</t>
  </si>
  <si>
    <t>25 DE MAYO 982- LANUS</t>
  </si>
  <si>
    <t>MOS-HTE-000043-2023</t>
  </si>
  <si>
    <t>068-0074/23</t>
  </si>
  <si>
    <t>MOS-HTE-000044-2023</t>
  </si>
  <si>
    <t>068-0058/23</t>
  </si>
  <si>
    <t>KURYLO EDUARDO ABEL</t>
  </si>
  <si>
    <t>SITIO DE MONTEVIDEO 2275</t>
  </si>
  <si>
    <t>MOS-HTE-000045-2023</t>
  </si>
  <si>
    <t>068-0009/23</t>
  </si>
  <si>
    <t>814 BIS 2827 QUILMES</t>
  </si>
  <si>
    <t>MOS-HTE-000046-2023</t>
  </si>
  <si>
    <t>068-0097/23</t>
  </si>
  <si>
    <t>MOS-HTE-000047-2023</t>
  </si>
  <si>
    <t>068-0029/23</t>
  </si>
  <si>
    <t>MOS-HTE-000048-2023</t>
  </si>
  <si>
    <t>068-0073/23</t>
  </si>
  <si>
    <t xml:space="preserve">GALLUCCI GABRIELA FABIANA </t>
  </si>
  <si>
    <t>IEZ690</t>
  </si>
  <si>
    <t>MOS-HTE-000049-2023</t>
  </si>
  <si>
    <t>068-0082/23</t>
  </si>
  <si>
    <t>MOS-HTE-000050-2023</t>
  </si>
  <si>
    <t>068-0099/23</t>
  </si>
  <si>
    <t>MOS-HTE-000051-2023</t>
  </si>
  <si>
    <t>068-0040/23</t>
  </si>
  <si>
    <t xml:space="preserve">TRNSPORTE DE PASAJEROS </t>
  </si>
  <si>
    <t>MOS-HTE-000053-2023</t>
  </si>
  <si>
    <t>068-0138/23</t>
  </si>
  <si>
    <t>PAVON TERESITA CECILIA</t>
  </si>
  <si>
    <t>QUILMES 2005- TEMPERLEY</t>
  </si>
  <si>
    <t>LNV047</t>
  </si>
  <si>
    <t>SPRINTER 415 CDI /C 3665</t>
  </si>
  <si>
    <t>MOS-HTE-000052-2023</t>
  </si>
  <si>
    <t>068-0030/24</t>
  </si>
  <si>
    <t>MOS-HTE-000001-2024</t>
  </si>
  <si>
    <t>RES. 0034/2024</t>
  </si>
  <si>
    <t>068-0182/24</t>
  </si>
  <si>
    <t>MOS-HTE-000002-2024</t>
  </si>
  <si>
    <t>RES. 0033/2024</t>
  </si>
  <si>
    <t>068-0051/24</t>
  </si>
  <si>
    <t>MOS-HTE-000004-2024</t>
  </si>
  <si>
    <t>RES. 0042/2024</t>
  </si>
  <si>
    <t>068-0125/24</t>
  </si>
  <si>
    <t>MOS HTE- 000003-2024</t>
  </si>
  <si>
    <t>RES. 0041/2024</t>
  </si>
  <si>
    <t>transportehugour@hotmail.com</t>
  </si>
  <si>
    <t>068-0025/24</t>
  </si>
  <si>
    <t xml:space="preserve">BERNARDINO RIVADAVIA 2282 - PB B - LANUS </t>
  </si>
  <si>
    <t>MOS HTE-000005-2024</t>
  </si>
  <si>
    <t>RES. 0108/2024</t>
  </si>
  <si>
    <t>068-0113/24</t>
  </si>
  <si>
    <t>MOS HTE-000006-2024</t>
  </si>
  <si>
    <t>RES. 0172/2024</t>
  </si>
  <si>
    <t>068-0057/24</t>
  </si>
  <si>
    <t>MOS-HTE-000009-2024</t>
  </si>
  <si>
    <t>RES 0111/2024</t>
  </si>
  <si>
    <t>068-0060/24</t>
  </si>
  <si>
    <t>MOS-HTE-000008-2024</t>
  </si>
  <si>
    <t>RES 0110/2024</t>
  </si>
  <si>
    <t>068-0093/24</t>
  </si>
  <si>
    <t>MOS HTE-000012-2024</t>
  </si>
  <si>
    <t>RES 0114/2024</t>
  </si>
  <si>
    <t>068-0108/24</t>
  </si>
  <si>
    <t>MOS HTE-000007-2024</t>
  </si>
  <si>
    <t>RES. 0109/2024</t>
  </si>
  <si>
    <t>temperleytours@hotmail.com</t>
  </si>
  <si>
    <t>068-0094/24</t>
  </si>
  <si>
    <t>MOS HTE-000011-2024</t>
  </si>
  <si>
    <t>RES 0113/2024</t>
  </si>
  <si>
    <t>068-0019/24</t>
  </si>
  <si>
    <t>JTN377</t>
  </si>
  <si>
    <t>SPRINTER 313 CDI/F 4025</t>
  </si>
  <si>
    <t>MOS HTE-000010-2024</t>
  </si>
  <si>
    <t>RES 0112/2024</t>
  </si>
  <si>
    <t>068-0001/24</t>
  </si>
  <si>
    <t>MOS HTE-000014-2024</t>
  </si>
  <si>
    <t>RES 0115/2024</t>
  </si>
  <si>
    <t>068-0002/24</t>
  </si>
  <si>
    <t>MOS HTE-000015-2024</t>
  </si>
  <si>
    <t>RES. 0129/2024</t>
  </si>
  <si>
    <t>068-0152/24</t>
  </si>
  <si>
    <t>MOS HTE-000022-2024</t>
  </si>
  <si>
    <t>RES 0186/2024</t>
  </si>
  <si>
    <t>CENTENARIO_ROJO9@HOTMAIL.COM</t>
  </si>
  <si>
    <t>068-0020/24</t>
  </si>
  <si>
    <t>MOS HTE-000016-2024</t>
  </si>
  <si>
    <t>RES. 0161/2024</t>
  </si>
  <si>
    <t>068-0034/24</t>
  </si>
  <si>
    <t xml:space="preserve">GDOR. LUIS VERNET 3302 - REMEDIOS DE ESCALADA - LANUS </t>
  </si>
  <si>
    <t>MOS HTE-000017-2024</t>
  </si>
  <si>
    <t>RES. 0162/2024</t>
  </si>
  <si>
    <t>claudiopascal1965@gmail.com</t>
  </si>
  <si>
    <t>068-0115/24</t>
  </si>
  <si>
    <t>MOS HTE-000018-2024</t>
  </si>
  <si>
    <t>RES. 0165/2024</t>
  </si>
  <si>
    <t>soniafrank71@gmail.com</t>
  </si>
  <si>
    <t>068-0114/24</t>
  </si>
  <si>
    <t>MOS HTE-000019-2024</t>
  </si>
  <si>
    <t>RES. 0163/2024</t>
  </si>
  <si>
    <t>068-0028/24</t>
  </si>
  <si>
    <t>DOMINGO PURITA 4171 - LANUS</t>
  </si>
  <si>
    <t xml:space="preserve">SPRINTER 413 CDI/C 4025 </t>
  </si>
  <si>
    <t>MOS HTE-000013-2024</t>
  </si>
  <si>
    <t>RES. 0173/2024</t>
  </si>
  <si>
    <t>pablito0312@hotmail.com</t>
  </si>
  <si>
    <t>068-0177/24</t>
  </si>
  <si>
    <t>TRANP. DE PASAJEROS</t>
  </si>
  <si>
    <t>MOS HTE-000020-2024</t>
  </si>
  <si>
    <t>RES. 0174/2024</t>
  </si>
  <si>
    <t>068-0010/24</t>
  </si>
  <si>
    <t xml:space="preserve">COLON 1061 REMEDIOS DE ESCALADA - LANUS </t>
  </si>
  <si>
    <t>MOS HTE-000021-2024</t>
  </si>
  <si>
    <t>RES. 0164/2024</t>
  </si>
  <si>
    <t>068-0024/24</t>
  </si>
  <si>
    <t>ALVEAR 5663 ADROGUE - ALTE. BROWN</t>
  </si>
  <si>
    <t>MOS HTE-000029-2024</t>
  </si>
  <si>
    <t>RES. 0200/2024</t>
  </si>
  <si>
    <t>068-0036/24</t>
  </si>
  <si>
    <t>MOS HTE-000028-2024</t>
  </si>
  <si>
    <t>RES. 0212/2024</t>
  </si>
  <si>
    <t>068-0004/24</t>
  </si>
  <si>
    <t>JYY179</t>
  </si>
  <si>
    <t>MOS HTE-000027-2024</t>
  </si>
  <si>
    <t>RES. 0199/2024</t>
  </si>
  <si>
    <t>068-0006/24</t>
  </si>
  <si>
    <t>NDA024</t>
  </si>
  <si>
    <t xml:space="preserve">TRANSP. DE PASAJEROS </t>
  </si>
  <si>
    <t>MOS HTE-000030-2024</t>
  </si>
  <si>
    <t>RES. 0203/2024</t>
  </si>
  <si>
    <t>068-0003/24</t>
  </si>
  <si>
    <t>KQU073</t>
  </si>
  <si>
    <t>MOS HTE-000031/2024</t>
  </si>
  <si>
    <t xml:space="preserve">RES. 0204/2024 </t>
  </si>
  <si>
    <t>068-0098/24</t>
  </si>
  <si>
    <t>NDA018</t>
  </si>
  <si>
    <t>MOS HTE-000032-2024</t>
  </si>
  <si>
    <t>RES. 0205/2024</t>
  </si>
  <si>
    <t>068-0143/24</t>
  </si>
  <si>
    <t>MOS HTE-000034-2024</t>
  </si>
  <si>
    <t>RES. 0201/2024</t>
  </si>
  <si>
    <t>068-0062/24</t>
  </si>
  <si>
    <t>MOS HTE-000033-2024</t>
  </si>
  <si>
    <t>RES. 0217/2024</t>
  </si>
  <si>
    <t>LYDASOCIADOS@HOTMAIL.COM</t>
  </si>
  <si>
    <t>068-0092/24</t>
  </si>
  <si>
    <t>MOS HTE-000035-2024</t>
  </si>
  <si>
    <t>RES. 0202/2024</t>
  </si>
  <si>
    <t>lydasociados@hotmail.com</t>
  </si>
  <si>
    <t>068-0074/24</t>
  </si>
  <si>
    <t>MOS HTE-000039-2024</t>
  </si>
  <si>
    <t>RES 0190/2024</t>
  </si>
  <si>
    <t>alejandrinasegovia9180@gmail.com</t>
  </si>
  <si>
    <t>068-0007/24</t>
  </si>
  <si>
    <t>CORNICELLO CRISTIAN HERNAN</t>
  </si>
  <si>
    <t>FRANCISCO DE LA CRUZ 533- R. DE ESCALADA</t>
  </si>
  <si>
    <t>KYH727</t>
  </si>
  <si>
    <t>BMO 384 VERSION 1418/52 CM</t>
  </si>
  <si>
    <t>MOS HTE-000037-2024</t>
  </si>
  <si>
    <t>RES. 0213/2024</t>
  </si>
  <si>
    <t>068-0165/24</t>
  </si>
  <si>
    <t>MOS-HTE-000040-2024</t>
  </si>
  <si>
    <t>RES. 0219/2024</t>
  </si>
  <si>
    <t>068-0031/24</t>
  </si>
  <si>
    <t>MOS-HTE-000041-2024</t>
  </si>
  <si>
    <t>RES. 0276/2024</t>
  </si>
  <si>
    <t>068-0056/24</t>
  </si>
  <si>
    <t>MOS-HTE-000026/2024</t>
  </si>
  <si>
    <t>RES. 0189/2024</t>
  </si>
  <si>
    <t>068-0008/24</t>
  </si>
  <si>
    <t>MOS-HTE-000038/2024</t>
  </si>
  <si>
    <t>RES. 0275/2024</t>
  </si>
  <si>
    <t>068-0037/24</t>
  </si>
  <si>
    <t>MOS-HTE-000042/2024</t>
  </si>
  <si>
    <t>RES. 0220/2024</t>
  </si>
  <si>
    <t>068-0190/24</t>
  </si>
  <si>
    <t>MOS-HTE-000025/2024</t>
  </si>
  <si>
    <t>RES. 0188/2024</t>
  </si>
  <si>
    <t>068-0193/24</t>
  </si>
  <si>
    <t>MOS-HTE-000023/2024</t>
  </si>
  <si>
    <t>RES. 0187/2024</t>
  </si>
  <si>
    <t>GUARDAVIDAS06@HOTMAIL.COM</t>
  </si>
  <si>
    <t>068-0076/24</t>
  </si>
  <si>
    <t>MOS-HTE.000043-2024</t>
  </si>
  <si>
    <t>RES. 0227/2024</t>
  </si>
  <si>
    <t>068-0139/24</t>
  </si>
  <si>
    <t>MOS HTE-000044-2024</t>
  </si>
  <si>
    <t>RES. 0228/2024</t>
  </si>
  <si>
    <t>CAVIGLIAWALTERNORBERTO@GMAIL.COM</t>
  </si>
  <si>
    <t>068-0072/24</t>
  </si>
  <si>
    <t>MOS HTE-000045-2024</t>
  </si>
  <si>
    <t>RES. 0229/2024</t>
  </si>
  <si>
    <t>068-0184/24</t>
  </si>
  <si>
    <t>MOS HTE-000046-2024</t>
  </si>
  <si>
    <t>RES. 0230/2024</t>
  </si>
  <si>
    <t>068-0052/24</t>
  </si>
  <si>
    <t>MOS-HTE-000047-2024</t>
  </si>
  <si>
    <t>RES. 0277/2024</t>
  </si>
  <si>
    <t>068-0095/24</t>
  </si>
  <si>
    <t>MOS HTE-000049-2024</t>
  </si>
  <si>
    <t>RES. 0279/2024</t>
  </si>
  <si>
    <t>068-0069/24</t>
  </si>
  <si>
    <t>MOS HTE-000048-2024</t>
  </si>
  <si>
    <t>RES. 0278/2024</t>
  </si>
  <si>
    <t>carlosrojas06111972@gmail.com</t>
  </si>
  <si>
    <t>068-0077/24</t>
  </si>
  <si>
    <t xml:space="preserve">LAVALLEJA 2444 - LANUS OEST - LANUS </t>
  </si>
  <si>
    <t>MOS HTE-000050-2024</t>
  </si>
  <si>
    <t>RES. 0319/2024</t>
  </si>
  <si>
    <t>salvadorirodrigo@hotmail.com</t>
  </si>
  <si>
    <t>068-0013/24</t>
  </si>
  <si>
    <t>MOS HTE-000052-2024</t>
  </si>
  <si>
    <t>068-0096/24</t>
  </si>
  <si>
    <t>MOS HTE-000053-2024</t>
  </si>
  <si>
    <t>068-0011/24</t>
  </si>
  <si>
    <t>SANTIAGO PLAUL 4045</t>
  </si>
  <si>
    <t>JPC480</t>
  </si>
  <si>
    <t>BMO 390 VERSION 1616L/55 CA</t>
  </si>
  <si>
    <t>MOS HTE-000054-2024</t>
  </si>
  <si>
    <t>turismosanmarcos@hotmail.com</t>
  </si>
  <si>
    <t>leonortimpano@gmail.com</t>
  </si>
  <si>
    <t>liliana.t@outlook.com</t>
  </si>
  <si>
    <t>alejandro_salva@hotmail.com.ar</t>
  </si>
  <si>
    <t>alejandrabaio@hotmail.com</t>
  </si>
  <si>
    <t>gonzodani@hotmail.com</t>
  </si>
  <si>
    <t>turismodamore1963@hotmail.com</t>
  </si>
  <si>
    <t>N° DE LICENCIA</t>
  </si>
  <si>
    <t>068-0001</t>
  </si>
  <si>
    <t>068-0002</t>
  </si>
  <si>
    <t>068-0003</t>
  </si>
  <si>
    <t>068-0004</t>
  </si>
  <si>
    <t>068-0005</t>
  </si>
  <si>
    <t>068-0006</t>
  </si>
  <si>
    <t>068-0008</t>
  </si>
  <si>
    <t>068-0009</t>
  </si>
  <si>
    <t>068-0010</t>
  </si>
  <si>
    <t>068-0013</t>
  </si>
  <si>
    <t>068-0014</t>
  </si>
  <si>
    <t>068-0015</t>
  </si>
  <si>
    <t>068-0016</t>
  </si>
  <si>
    <t>068-0017</t>
  </si>
  <si>
    <t>068-0018</t>
  </si>
  <si>
    <t>068-0019</t>
  </si>
  <si>
    <t>068-0020</t>
  </si>
  <si>
    <t>068-0021</t>
  </si>
  <si>
    <t>068-0022</t>
  </si>
  <si>
    <t>068-0023</t>
  </si>
  <si>
    <t>068-0025</t>
  </si>
  <si>
    <t>068-0026</t>
  </si>
  <si>
    <t>068-0027</t>
  </si>
  <si>
    <t>068-0028</t>
  </si>
  <si>
    <t>068-0029</t>
  </si>
  <si>
    <t>068-0030</t>
  </si>
  <si>
    <t>068-0031</t>
  </si>
  <si>
    <t>068-0032</t>
  </si>
  <si>
    <t>068-0033</t>
  </si>
  <si>
    <t>068-0034</t>
  </si>
  <si>
    <t>068-0035</t>
  </si>
  <si>
    <t>068-0037</t>
  </si>
  <si>
    <t>068-0038</t>
  </si>
  <si>
    <t>068-0039</t>
  </si>
  <si>
    <t>068-0040</t>
  </si>
  <si>
    <t>068-0041</t>
  </si>
  <si>
    <t>068-0042</t>
  </si>
  <si>
    <t>068-0043</t>
  </si>
  <si>
    <t>068-0045</t>
  </si>
  <si>
    <t>068-0046</t>
  </si>
  <si>
    <t>068-0047</t>
  </si>
  <si>
    <t>068-0048</t>
  </si>
  <si>
    <t>068-0051</t>
  </si>
  <si>
    <t>068-0052</t>
  </si>
  <si>
    <t>068-0053</t>
  </si>
  <si>
    <t>068-0054</t>
  </si>
  <si>
    <t>068-0055</t>
  </si>
  <si>
    <t>068-0056</t>
  </si>
  <si>
    <t>068-0057</t>
  </si>
  <si>
    <t>068-0058</t>
  </si>
  <si>
    <t>068-0059</t>
  </si>
  <si>
    <t>068-0060</t>
  </si>
  <si>
    <t>068-0061</t>
  </si>
  <si>
    <t>068-0062</t>
  </si>
  <si>
    <t>068-0063</t>
  </si>
  <si>
    <t>068-0064</t>
  </si>
  <si>
    <t>068-0065</t>
  </si>
  <si>
    <t>068-0066</t>
  </si>
  <si>
    <t>068-0067</t>
  </si>
  <si>
    <t>068-0068</t>
  </si>
  <si>
    <t>068-0069</t>
  </si>
  <si>
    <t>068-0070</t>
  </si>
  <si>
    <t>068-0071</t>
  </si>
  <si>
    <t>068-0072</t>
  </si>
  <si>
    <t>068-0073</t>
  </si>
  <si>
    <t>068-0074</t>
  </si>
  <si>
    <t>068-0075</t>
  </si>
  <si>
    <t>068-0076</t>
  </si>
  <si>
    <t>068-0077</t>
  </si>
  <si>
    <t>068-0078</t>
  </si>
  <si>
    <t>068-0079</t>
  </si>
  <si>
    <t>068-0080</t>
  </si>
  <si>
    <t>068-0081</t>
  </si>
  <si>
    <t>068-0082</t>
  </si>
  <si>
    <t>068-0083</t>
  </si>
  <si>
    <t>068-0084</t>
  </si>
  <si>
    <t>068-0085</t>
  </si>
  <si>
    <t>068-0086</t>
  </si>
  <si>
    <t>068-0087</t>
  </si>
  <si>
    <t>068-0088</t>
  </si>
  <si>
    <t>068-0089</t>
  </si>
  <si>
    <t>068-0090</t>
  </si>
  <si>
    <t>068-0091</t>
  </si>
  <si>
    <t>068-0092</t>
  </si>
  <si>
    <t>068-0093</t>
  </si>
  <si>
    <t>068-0094</t>
  </si>
  <si>
    <t>068-0095</t>
  </si>
  <si>
    <t>068-0096</t>
  </si>
  <si>
    <t>068-0097</t>
  </si>
  <si>
    <t>068-0098</t>
  </si>
  <si>
    <t>068-0099</t>
  </si>
  <si>
    <t>068-0100</t>
  </si>
  <si>
    <t>068-0101</t>
  </si>
  <si>
    <t>068-0103</t>
  </si>
  <si>
    <t>068-0104</t>
  </si>
  <si>
    <t>068-0105</t>
  </si>
  <si>
    <t>068-0106</t>
  </si>
  <si>
    <t>068-0107</t>
  </si>
  <si>
    <t>068-0108</t>
  </si>
  <si>
    <t>068-0109</t>
  </si>
  <si>
    <t>068-0110</t>
  </si>
  <si>
    <t>068-0112</t>
  </si>
  <si>
    <t>068-0113</t>
  </si>
  <si>
    <t>068-0114</t>
  </si>
  <si>
    <t>068-0115</t>
  </si>
  <si>
    <t>068-0116</t>
  </si>
  <si>
    <t>068-0117</t>
  </si>
  <si>
    <t>068-0118</t>
  </si>
  <si>
    <t>068-0119</t>
  </si>
  <si>
    <t>068-0120</t>
  </si>
  <si>
    <t>068-0121</t>
  </si>
  <si>
    <t>068-0122</t>
  </si>
  <si>
    <t>068-0123</t>
  </si>
  <si>
    <t>068-0124</t>
  </si>
  <si>
    <t>068-0125</t>
  </si>
  <si>
    <t>068-0126</t>
  </si>
  <si>
    <t>068-0127</t>
  </si>
  <si>
    <t>068-0128</t>
  </si>
  <si>
    <t>068-0129</t>
  </si>
  <si>
    <t>068-0130</t>
  </si>
  <si>
    <t>068-0131</t>
  </si>
  <si>
    <t>068-0132</t>
  </si>
  <si>
    <t>068-0133</t>
  </si>
  <si>
    <t>068-0134</t>
  </si>
  <si>
    <t>068-0135</t>
  </si>
  <si>
    <t>068-0136</t>
  </si>
  <si>
    <t>068-0137</t>
  </si>
  <si>
    <t>068-0138</t>
  </si>
  <si>
    <t>068-0139</t>
  </si>
  <si>
    <t>068-0140</t>
  </si>
  <si>
    <t>068-0141</t>
  </si>
  <si>
    <t>068-0142</t>
  </si>
  <si>
    <t>068-0143</t>
  </si>
  <si>
    <t>068-0144</t>
  </si>
  <si>
    <t>068-0145</t>
  </si>
  <si>
    <t>068-0146</t>
  </si>
  <si>
    <t>068-0147</t>
  </si>
  <si>
    <t>068-0148</t>
  </si>
  <si>
    <t>068-0149</t>
  </si>
  <si>
    <t>068-0150</t>
  </si>
  <si>
    <t>068-0151</t>
  </si>
  <si>
    <t>068-0152</t>
  </si>
  <si>
    <t>068-0153</t>
  </si>
  <si>
    <t>068-0154</t>
  </si>
  <si>
    <t>068-0155</t>
  </si>
  <si>
    <t>068-0156</t>
  </si>
  <si>
    <t>068-0157</t>
  </si>
  <si>
    <t>068-0158</t>
  </si>
  <si>
    <t>068-0159</t>
  </si>
  <si>
    <t>068-0160</t>
  </si>
  <si>
    <t>068-0161</t>
  </si>
  <si>
    <t>068-0162</t>
  </si>
  <si>
    <t>068-0163</t>
  </si>
  <si>
    <t>068-0164</t>
  </si>
  <si>
    <t>068-0165</t>
  </si>
  <si>
    <t>068-0166</t>
  </si>
  <si>
    <t>068-0167</t>
  </si>
  <si>
    <t>068-0168</t>
  </si>
  <si>
    <t>068-0169</t>
  </si>
  <si>
    <t>068-0170</t>
  </si>
  <si>
    <t>068-0171</t>
  </si>
  <si>
    <t>068-0172</t>
  </si>
  <si>
    <t>068-0173</t>
  </si>
  <si>
    <t>068-0174</t>
  </si>
  <si>
    <t>068-0175</t>
  </si>
  <si>
    <t>068-0176</t>
  </si>
  <si>
    <t>068-0177</t>
  </si>
  <si>
    <t>068-0178</t>
  </si>
  <si>
    <t>068-0179</t>
  </si>
  <si>
    <t>068-0180</t>
  </si>
  <si>
    <t>068-0181</t>
  </si>
  <si>
    <t>068-0182</t>
  </si>
  <si>
    <t>068-0183</t>
  </si>
  <si>
    <t>068-0184</t>
  </si>
  <si>
    <t>068-0185</t>
  </si>
  <si>
    <t>068-0186</t>
  </si>
  <si>
    <t>068-0187</t>
  </si>
  <si>
    <t>068-0188</t>
  </si>
  <si>
    <t>068-0189</t>
  </si>
  <si>
    <t>068-0190</t>
  </si>
  <si>
    <t>068-0191</t>
  </si>
  <si>
    <t>068-0192</t>
  </si>
  <si>
    <t>068-0193</t>
  </si>
  <si>
    <t>068-0194</t>
  </si>
  <si>
    <t>068-0195</t>
  </si>
  <si>
    <t>068-0196</t>
  </si>
  <si>
    <t>068-0197</t>
  </si>
  <si>
    <t>068-0198</t>
  </si>
  <si>
    <t>068-0199</t>
  </si>
  <si>
    <t>068-0200</t>
  </si>
  <si>
    <t xml:space="preserve"> </t>
  </si>
  <si>
    <t>Subsecretaria de Ordenamiento Urbano</t>
  </si>
  <si>
    <t>Direccion Gral.
 Movilidad y Transporte</t>
  </si>
  <si>
    <t>BUSQUEDA</t>
  </si>
  <si>
    <t>Certificado Verificacion
Remis</t>
  </si>
  <si>
    <t xml:space="preserve">FECHA: </t>
  </si>
  <si>
    <t>Hora:</t>
  </si>
  <si>
    <t>Expte N°:</t>
  </si>
  <si>
    <t>A-106.766/2026</t>
  </si>
  <si>
    <t>Licencia N°:</t>
  </si>
  <si>
    <t>Quien Se Presenta</t>
  </si>
  <si>
    <t>Datos del vehiculo</t>
  </si>
  <si>
    <t>Apellido y nombre:</t>
  </si>
  <si>
    <t>Dominio:</t>
  </si>
  <si>
    <t>Documento:</t>
  </si>
  <si>
    <t>Marca:</t>
  </si>
  <si>
    <t>Direccion:</t>
  </si>
  <si>
    <t>Modelo:</t>
  </si>
  <si>
    <t>Datos del Titular</t>
  </si>
  <si>
    <t>Año :</t>
  </si>
  <si>
    <t>Insc. Inicial.:</t>
  </si>
  <si>
    <t>Agencia:</t>
  </si>
  <si>
    <t>Detalles y Observaciones del vehiculo</t>
  </si>
  <si>
    <t>Descripcion</t>
  </si>
  <si>
    <t xml:space="preserve">Bien </t>
  </si>
  <si>
    <t xml:space="preserve">Regular </t>
  </si>
  <si>
    <t xml:space="preserve">Mal </t>
  </si>
  <si>
    <t>Observ.</t>
  </si>
  <si>
    <r>
      <rPr>
        <b/>
        <sz val="10"/>
        <color theme="1"/>
        <rFont val="Arial"/>
      </rPr>
      <t xml:space="preserve">Estado General de la Carrocería </t>
    </r>
    <r>
      <rPr>
        <sz val="10"/>
        <color theme="1"/>
        <rFont val="Arial"/>
      </rPr>
      <t>(exterior, Paragolles, vidrios)</t>
    </r>
  </si>
  <si>
    <r>
      <rPr>
        <b/>
        <sz val="10"/>
        <color theme="1"/>
        <rFont val="Arial"/>
      </rPr>
      <t>Estado de Espejos Retrovisores</t>
    </r>
    <r>
      <rPr>
        <sz val="10"/>
        <color theme="1"/>
        <rFont val="Arial"/>
      </rPr>
      <t xml:space="preserve"> (Der. / Izq.)</t>
    </r>
  </si>
  <si>
    <r>
      <rPr>
        <b/>
        <sz val="10"/>
        <color theme="1"/>
        <rFont val="Arial"/>
      </rPr>
      <t>Estado y funcionamiento de todas las Luces</t>
    </r>
    <r>
      <rPr>
        <sz val="10"/>
        <color theme="1"/>
        <rFont val="Arial"/>
      </rPr>
      <t xml:space="preserve"> (Posición, L.Corta, L. Larga, Giros, Balizas, Stop, M. Atrás)</t>
    </r>
  </si>
  <si>
    <r>
      <rPr>
        <b/>
        <sz val="10"/>
        <color theme="1"/>
        <rFont val="Arial"/>
      </rPr>
      <t xml:space="preserve">Cubiertas </t>
    </r>
    <r>
      <rPr>
        <sz val="10"/>
        <color theme="1"/>
        <rFont val="Arial"/>
      </rPr>
      <t>(Estado General banda de rodamiento y perfil. Del./Tras.)</t>
    </r>
  </si>
  <si>
    <r>
      <rPr>
        <b/>
        <sz val="10"/>
        <color theme="1"/>
        <rFont val="Arial"/>
      </rPr>
      <t xml:space="preserve">Estado General del Interior </t>
    </r>
    <r>
      <rPr>
        <sz val="10"/>
        <color theme="1"/>
        <rFont val="Arial"/>
      </rPr>
      <t xml:space="preserve"> (Estado y Anclaje de Butacas y asiento trasero,Tapicería y Paneles de puerta)</t>
    </r>
  </si>
  <si>
    <r>
      <rPr>
        <b/>
        <sz val="10"/>
        <color theme="1"/>
        <rFont val="Arial"/>
      </rPr>
      <t>Cabezales o Apoya Cabeza</t>
    </r>
    <r>
      <rPr>
        <sz val="10"/>
        <color theme="1"/>
        <rFont val="Arial"/>
      </rPr>
      <t xml:space="preserve"> (en todos las plazas acorde a la cofiguración del fabricante)</t>
    </r>
  </si>
  <si>
    <r>
      <rPr>
        <b/>
        <sz val="10"/>
        <color theme="1"/>
        <rFont val="Arial"/>
      </rPr>
      <t>Cinturones de Seguridad</t>
    </r>
    <r>
      <rPr>
        <sz val="10"/>
        <color theme="1"/>
        <rFont val="Arial"/>
      </rPr>
      <t xml:space="preserve"> (en las plazas delanteras y traseras acorde a la configuración del fabricante) </t>
    </r>
  </si>
  <si>
    <r>
      <rPr>
        <b/>
        <sz val="10"/>
        <color theme="1"/>
        <rFont val="Arial"/>
      </rPr>
      <t>Matafuego Reglamentario</t>
    </r>
    <r>
      <rPr>
        <sz val="10"/>
        <color theme="1"/>
        <rFont val="Arial"/>
      </rPr>
      <t xml:space="preserve"> (fijado en el interior del habitaculo) </t>
    </r>
  </si>
  <si>
    <r>
      <rPr>
        <b/>
        <sz val="10"/>
        <color theme="1"/>
        <rFont val="Arial"/>
      </rPr>
      <t>Kit de Emergencias</t>
    </r>
    <r>
      <rPr>
        <sz val="10"/>
        <color theme="1"/>
        <rFont val="Arial"/>
      </rPr>
      <t xml:space="preserve"> para Primeros Auxilios Completo </t>
    </r>
  </si>
  <si>
    <r>
      <rPr>
        <b/>
        <sz val="10"/>
        <color theme="1"/>
        <rFont val="Arial"/>
      </rPr>
      <t>Mampara Divisoria Transparente</t>
    </r>
    <r>
      <rPr>
        <sz val="10"/>
        <color theme="1"/>
        <rFont val="Arial"/>
      </rPr>
      <t xml:space="preserve"> entre plazas delanteras y traseras</t>
    </r>
  </si>
  <si>
    <t>Observaciones:</t>
  </si>
  <si>
    <t xml:space="preserve">Plazo para regularizar: </t>
  </si>
  <si>
    <t>_________________________________
 Firma del interesado</t>
  </si>
  <si>
    <t>_________________________
 Firma del agente</t>
  </si>
  <si>
    <t>HABILITACION DE TRANSPORTE ESCOLAR - CICLO 2024</t>
  </si>
  <si>
    <t xml:space="preserve">N° DE LICENCIA </t>
  </si>
  <si>
    <t xml:space="preserve">APELLIDO Y NOMBRE DEL TITULAR </t>
  </si>
  <si>
    <t xml:space="preserve">DNI DEL TITULAR </t>
  </si>
  <si>
    <t xml:space="preserve">DIRECCION </t>
  </si>
  <si>
    <t xml:space="preserve">DOMINIO </t>
  </si>
  <si>
    <t xml:space="preserve">MARCA </t>
  </si>
  <si>
    <t xml:space="preserve">MODELO </t>
  </si>
  <si>
    <t xml:space="preserve">AÑO </t>
  </si>
  <si>
    <t xml:space="preserve">INSCRIPCION INICIAL </t>
  </si>
  <si>
    <t>TIPO</t>
  </si>
  <si>
    <t>EXPEDIENTE</t>
  </si>
  <si>
    <t>LA RIOJA 687</t>
  </si>
  <si>
    <t>HABILITACION DE TRANSPORTE ESCOLAR - CICLO 2023</t>
  </si>
  <si>
    <t>DNI DEL TITULAR</t>
  </si>
  <si>
    <t xml:space="preserve">EXPEDIENTE N° </t>
  </si>
  <si>
    <t>RES. N° 0055/2023</t>
  </si>
  <si>
    <t>RES. N° 0050/2023</t>
  </si>
  <si>
    <t>RES. N° 0030/2023</t>
  </si>
  <si>
    <t>RES. N° 0047/2023</t>
  </si>
  <si>
    <t>RES. N° 0048/2023</t>
  </si>
  <si>
    <t>RES. N° 0049/2023</t>
  </si>
  <si>
    <t>RES. N° 0094/2023</t>
  </si>
  <si>
    <t>RES. N° 0142/2023</t>
  </si>
  <si>
    <t>RES. N° 0112/2023</t>
  </si>
  <si>
    <t>RES. N° 0143/2023</t>
  </si>
  <si>
    <t>RES. N° 0144/2023</t>
  </si>
  <si>
    <t>RES. N° 0145/2023</t>
  </si>
  <si>
    <t>RES. N° 0146/2023</t>
  </si>
  <si>
    <t>RES. N° 0147/2023</t>
  </si>
  <si>
    <t>RES. N° 0148/2023</t>
  </si>
  <si>
    <t>RES. N° 0149/2023</t>
  </si>
  <si>
    <t>RES. N° 0150/2023</t>
  </si>
  <si>
    <t>RES. N° 0162/2023</t>
  </si>
  <si>
    <t>RES. N° 0190/2023</t>
  </si>
  <si>
    <t>RES. N° 0200/2023</t>
  </si>
  <si>
    <t>RES. N° 0189/2023</t>
  </si>
  <si>
    <t>RES. N° 0199/2023</t>
  </si>
  <si>
    <t>RES. N° 0198/2023</t>
  </si>
  <si>
    <t>RES. N° 0197/2023</t>
  </si>
  <si>
    <t>RES. N° 0223/2023</t>
  </si>
  <si>
    <t>RES. N° 0236/2023</t>
  </si>
  <si>
    <t>RES. N° 0283/2023</t>
  </si>
  <si>
    <t>RES. N° 0282/2023</t>
  </si>
  <si>
    <t>RES. N° 0323/2023</t>
  </si>
  <si>
    <t>RES. N° 0318/2023</t>
  </si>
  <si>
    <t>RES. N° 0317/2023</t>
  </si>
  <si>
    <t>RES. N° 0328/2023</t>
  </si>
  <si>
    <t>RES. N° 0327/2023</t>
  </si>
  <si>
    <t>RES. N° 0426/2023</t>
  </si>
  <si>
    <t>RES. N° 0427/2023</t>
  </si>
  <si>
    <t>RES. N° 0428/2023</t>
  </si>
  <si>
    <t>RES. N° 0473/2023</t>
  </si>
  <si>
    <t>RES. N° 0429/2023</t>
  </si>
  <si>
    <t>RES. N° 0475/2023</t>
  </si>
  <si>
    <t>RES. N° 0490/2023</t>
  </si>
  <si>
    <t>RES. N° 0489/2023</t>
  </si>
  <si>
    <t>RES. N° 0492/2023</t>
  </si>
  <si>
    <t>RES. N° 0543/2023</t>
  </si>
  <si>
    <t>RES. N° 0561/2023</t>
  </si>
  <si>
    <t>RES. N° 0551/2023</t>
  </si>
  <si>
    <t>RES. N° 0555/2023</t>
  </si>
  <si>
    <t>RES. N° 0556/2023</t>
  </si>
  <si>
    <t>RES. N° 0572/2023</t>
  </si>
  <si>
    <t>RES. N° 0636/2023</t>
  </si>
  <si>
    <t>RES. N° 0601/2023</t>
  </si>
  <si>
    <t>RES. N° 0657/2023</t>
  </si>
  <si>
    <t>RES. N° 0007/2024</t>
  </si>
  <si>
    <t>RES. N° 0006/2024</t>
  </si>
  <si>
    <t>REMEDIOS E ESCALADA - LANUS</t>
  </si>
  <si>
    <t>Información del Titular</t>
  </si>
  <si>
    <t>Información del Chofer</t>
  </si>
  <si>
    <t>Información de la Celadora</t>
  </si>
  <si>
    <t>Información del Vehiculo</t>
  </si>
  <si>
    <t>Tipo Habilitación</t>
  </si>
  <si>
    <t>Expte</t>
  </si>
  <si>
    <t>Resolución</t>
  </si>
  <si>
    <t>F. Resolución</t>
  </si>
  <si>
    <t>F. Prest. Documentos</t>
  </si>
  <si>
    <t>Apellido</t>
  </si>
  <si>
    <t>Nombres</t>
  </si>
  <si>
    <t>N° de DNI</t>
  </si>
  <si>
    <t>Localidad</t>
  </si>
  <si>
    <t>Telefono</t>
  </si>
  <si>
    <t>Telefono Alternativo</t>
  </si>
  <si>
    <t>Correo Electronico</t>
  </si>
  <si>
    <t>Vencimiento Licencia</t>
  </si>
  <si>
    <t>Inscripcion Inicial</t>
  </si>
  <si>
    <t>Verficación Vehicular</t>
  </si>
  <si>
    <t>Vida Util</t>
  </si>
  <si>
    <t>Nueva Habilitación</t>
  </si>
  <si>
    <t xml:space="preserve">VICO </t>
  </si>
  <si>
    <t>FERNANDO ANGEL</t>
  </si>
  <si>
    <t>CARABELAS 77</t>
  </si>
  <si>
    <t>TEMPERLEY - LOMAS DE ZAMORA</t>
  </si>
  <si>
    <t>VICO</t>
  </si>
  <si>
    <t>TEMPERLEY- L. DE ZAMORA</t>
  </si>
  <si>
    <t>GIULIANI</t>
  </si>
  <si>
    <t>STELLA MARIS</t>
  </si>
  <si>
    <t>GANDHI 993</t>
  </si>
  <si>
    <t>SAN JOSE- LOMAS DE ZAMORA</t>
  </si>
  <si>
    <t xml:space="preserve">CAMPERO </t>
  </si>
  <si>
    <t>SONIA MARIA</t>
  </si>
  <si>
    <t xml:space="preserve">FIGUEREDO </t>
  </si>
  <si>
    <t>CRISTIAN DANIEL</t>
  </si>
  <si>
    <t>EL TALA 3337</t>
  </si>
  <si>
    <t>ESPINDOLA</t>
  </si>
  <si>
    <t>CECILIA NOEMI</t>
  </si>
  <si>
    <t>EL TREBOL 3610</t>
  </si>
  <si>
    <t>Renovación</t>
  </si>
  <si>
    <t>MOS HTE 000041-2023</t>
  </si>
  <si>
    <t>KURA</t>
  </si>
  <si>
    <t>MARIA CRISTINA</t>
  </si>
  <si>
    <t>SALADILLO</t>
  </si>
  <si>
    <t>LOMAS DEZAMORA</t>
  </si>
  <si>
    <t>MIGUELANGELROJAS74@GMAIL.COM</t>
  </si>
  <si>
    <t>ROJAS</t>
  </si>
  <si>
    <t>MIGUEL ANGEL</t>
  </si>
  <si>
    <t>SALADILLO 151</t>
  </si>
  <si>
    <t>LOMAS DE ZAMORA</t>
  </si>
  <si>
    <t>Cambio de titular</t>
  </si>
  <si>
    <t>GARCIA</t>
  </si>
  <si>
    <t>ANTONELLA JEZABEL</t>
  </si>
  <si>
    <t>POSADAS 1342</t>
  </si>
  <si>
    <t>LANUS ESTE</t>
  </si>
  <si>
    <t>JEZABEL125@HOTMAIL.COM</t>
  </si>
  <si>
    <t xml:space="preserve">GARCIA </t>
  </si>
  <si>
    <t>JORGE ALFREDO</t>
  </si>
  <si>
    <t>TAVERNISE</t>
  </si>
  <si>
    <t>HECTOR</t>
  </si>
  <si>
    <t>WARNES 2611</t>
  </si>
  <si>
    <t>LANUS</t>
  </si>
  <si>
    <t>elsaanrodriguez@gmail.com</t>
  </si>
  <si>
    <t>PEREZ</t>
  </si>
  <si>
    <t>JULIO OMAR</t>
  </si>
  <si>
    <t>LITUANIA 2981</t>
  </si>
  <si>
    <t>LANUS OESTE</t>
  </si>
  <si>
    <t>RODRIGUEZ</t>
  </si>
  <si>
    <t>ANTONIA ELSA</t>
  </si>
  <si>
    <t>AMARILLA</t>
  </si>
  <si>
    <t>LIDIA ROSA</t>
  </si>
  <si>
    <t xml:space="preserve">814 BIS 2827 </t>
  </si>
  <si>
    <t>SAN FRANCISCO. SOLANO- QUILMES</t>
  </si>
  <si>
    <t>LIDIAROSAAMARILLA2@GMAIL.COM</t>
  </si>
  <si>
    <t>ORTIZ</t>
  </si>
  <si>
    <t>JUAN CARLOS</t>
  </si>
  <si>
    <t>MOS-HTE 000017-2023</t>
  </si>
  <si>
    <t>EY WAIS S.R.L</t>
  </si>
  <si>
    <t>L191650M109982</t>
  </si>
  <si>
    <t>COLON N° 1061</t>
  </si>
  <si>
    <t>REMEDIOS DE ESCALADA - LANUS</t>
  </si>
  <si>
    <t>EYWAIS@GMAIL.COM</t>
  </si>
  <si>
    <t>OGA</t>
  </si>
  <si>
    <t>MARIO DANIEL</t>
  </si>
  <si>
    <t>FLORENCIO VARELA N° 934</t>
  </si>
  <si>
    <t>ASTORGA</t>
  </si>
  <si>
    <t>TOMAS EZEQUIEL</t>
  </si>
  <si>
    <t>SITIO DE MONTEVIDEO N° 3246</t>
  </si>
  <si>
    <t>MONTE CHINGOLO</t>
  </si>
  <si>
    <t>MOS HTE 000026-2022</t>
  </si>
  <si>
    <t>GUARACHI DAGA</t>
  </si>
  <si>
    <t>WILLIAM ALBERTO</t>
  </si>
  <si>
    <t xml:space="preserve">PEDRIEL 3108  </t>
  </si>
  <si>
    <t>MICRO.CRISTINA65@GMAIL.COM</t>
  </si>
  <si>
    <t>ARAÑO</t>
  </si>
  <si>
    <t>GORINO</t>
  </si>
  <si>
    <t>FERNANDO LUIS</t>
  </si>
  <si>
    <t>AYACUCHO 2374</t>
  </si>
  <si>
    <t>gonzalogorino@hotmail.com</t>
  </si>
  <si>
    <t>GONZALO</t>
  </si>
  <si>
    <t>COLLADA</t>
  </si>
  <si>
    <t>ADRIAN LUIS</t>
  </si>
  <si>
    <t xml:space="preserve">UDAONDO 1813 </t>
  </si>
  <si>
    <t>ADRIANLUISCOLLADA@GMAIL.COM</t>
  </si>
  <si>
    <t>UDAONDO 1813</t>
  </si>
  <si>
    <t xml:space="preserve">MAGAGNINI </t>
  </si>
  <si>
    <t>RUBEN</t>
  </si>
  <si>
    <t>UDAONDO 1986</t>
  </si>
  <si>
    <t>BELLINI</t>
  </si>
  <si>
    <t>RAMON DANIEL</t>
  </si>
  <si>
    <t>SGO. PLAUL 4045</t>
  </si>
  <si>
    <t>BELLINI DITTA</t>
  </si>
  <si>
    <t>LEANDRO</t>
  </si>
  <si>
    <t>MOS HTE 000010-2023</t>
  </si>
  <si>
    <t>PALLERO</t>
  </si>
  <si>
    <t>JAVIER ALEJANDRO</t>
  </si>
  <si>
    <t>ARAGON 898</t>
  </si>
  <si>
    <t>LLAVALOL - L. DE ZAMORA</t>
  </si>
  <si>
    <t>exitbus@yahoo.com.ar</t>
  </si>
  <si>
    <t>LLAVALLOL - L. DE ZAMORA</t>
  </si>
  <si>
    <t>PENDOLA</t>
  </si>
  <si>
    <t>LAURA NOEMI</t>
  </si>
  <si>
    <t xml:space="preserve">CHACABUCO 259 1 </t>
  </si>
  <si>
    <t>BANFIELD</t>
  </si>
  <si>
    <t xml:space="preserve">PEREIRA VASCONCELLOS </t>
  </si>
  <si>
    <t>NILDA GISEL</t>
  </si>
  <si>
    <t>PICHINCHA 3193</t>
  </si>
  <si>
    <t>nildagisell@gmail.com</t>
  </si>
  <si>
    <t>CONDE</t>
  </si>
  <si>
    <t>ALEJANDRO ENRIQUE</t>
  </si>
  <si>
    <t>ARIAS 2981</t>
  </si>
  <si>
    <t>MOS HTE 000046-2022</t>
  </si>
  <si>
    <t>RIZZO</t>
  </si>
  <si>
    <t>MAURO LEONEL</t>
  </si>
  <si>
    <t>ALVEAR 5663</t>
  </si>
  <si>
    <t>ADROGUE- ALTE. BROWN</t>
  </si>
  <si>
    <t>mauro_pulu@hotmail.com</t>
  </si>
  <si>
    <t>MEDINA</t>
  </si>
  <si>
    <t>JOSE LUIS</t>
  </si>
  <si>
    <t>823 N°2608</t>
  </si>
  <si>
    <t>SAN FCO. SOLANO - QUILMES</t>
  </si>
  <si>
    <t>CARRASCAL</t>
  </si>
  <si>
    <t>KAREN YAMILA</t>
  </si>
  <si>
    <t>LA CALANDRIA 4291</t>
  </si>
  <si>
    <t>MOS HTE 000011-2023</t>
  </si>
  <si>
    <t>KOCH</t>
  </si>
  <si>
    <t>EDUARDO OSCAR</t>
  </si>
  <si>
    <t>B.RIVADAVIA 2282 PB B</t>
  </si>
  <si>
    <t xml:space="preserve"> LANUS OESTE</t>
  </si>
  <si>
    <t>CLAUDIA.KOZAC@HOTMAIL.CL</t>
  </si>
  <si>
    <t>KOZAK</t>
  </si>
  <si>
    <t>CLAUDIA ADRIANA</t>
  </si>
  <si>
    <t>DUCATO CARG 2.3 JTD</t>
  </si>
  <si>
    <t>YANIGRO</t>
  </si>
  <si>
    <t>VICTOR DANIEL</t>
  </si>
  <si>
    <t xml:space="preserve">JUAN B. JUSTO 926 </t>
  </si>
  <si>
    <t>jyanigro@hotmail.com</t>
  </si>
  <si>
    <t>JONATAN</t>
  </si>
  <si>
    <t xml:space="preserve">OLIVARES </t>
  </si>
  <si>
    <t>MARCELO BENITO</t>
  </si>
  <si>
    <t xml:space="preserve">DOMINGO PURITA 4171 </t>
  </si>
  <si>
    <t>OLIVARES</t>
  </si>
  <si>
    <t>LOTO</t>
  </si>
  <si>
    <t>SILVIA ANALIA</t>
  </si>
  <si>
    <t>MOS HTE 000048-2023</t>
  </si>
  <si>
    <t xml:space="preserve">MUSUMECI </t>
  </si>
  <si>
    <t>PORTELA 651</t>
  </si>
  <si>
    <t>romimusu@gmail.com</t>
  </si>
  <si>
    <t>MUSUMECI</t>
  </si>
  <si>
    <t>ROMINA ANALIA</t>
  </si>
  <si>
    <t>13 DE DICIEMBRE 1471</t>
  </si>
  <si>
    <t>BANFIELD- LOMAS DE ZAMORA</t>
  </si>
  <si>
    <t>MOS HTE 000004-2023</t>
  </si>
  <si>
    <t>COSENTINO</t>
  </si>
  <si>
    <t>JUAN DANIEL</t>
  </si>
  <si>
    <t>MORENO 1977</t>
  </si>
  <si>
    <t>JUANDANIELCOSENTINO@GMAIL.COM</t>
  </si>
  <si>
    <t>CLAVERO</t>
  </si>
  <si>
    <t>MARTA BEATRIZ</t>
  </si>
  <si>
    <t>MORENO 1979</t>
  </si>
  <si>
    <t>Cambio de Material y Renovación</t>
  </si>
  <si>
    <t>CANEPA</t>
  </si>
  <si>
    <t>DANIEL ALBERTO</t>
  </si>
  <si>
    <t>AV. INDEPENDENCIA 2257 14°D</t>
  </si>
  <si>
    <t>CABA</t>
  </si>
  <si>
    <t xml:space="preserve">CANEPA </t>
  </si>
  <si>
    <t>PLASTINA</t>
  </si>
  <si>
    <t>SANDRA ELIZABETH</t>
  </si>
  <si>
    <t>CNEL. RICO 21</t>
  </si>
  <si>
    <t>MOS HTE 000022-2023</t>
  </si>
  <si>
    <t xml:space="preserve">PASCAL </t>
  </si>
  <si>
    <t>CLAUDIO AURELIO</t>
  </si>
  <si>
    <t xml:space="preserve">LUIS VERNET 3302 </t>
  </si>
  <si>
    <t>DIAZ</t>
  </si>
  <si>
    <t>CLAUDIO DAVID</t>
  </si>
  <si>
    <t>PJE. DEL PLATA 135</t>
  </si>
  <si>
    <t xml:space="preserve">FRANK </t>
  </si>
  <si>
    <t>SONIA BEATRIZ</t>
  </si>
  <si>
    <t>YERBAL 2690</t>
  </si>
  <si>
    <t>PABLO EZEQUIEL</t>
  </si>
  <si>
    <t>MONTE CHINGOLO- LANUS</t>
  </si>
  <si>
    <t>CANARIO</t>
  </si>
  <si>
    <t>CARLOS ALBERTO</t>
  </si>
  <si>
    <t>CAZON 3091</t>
  </si>
  <si>
    <t xml:space="preserve">MERCEDES BENZ </t>
  </si>
  <si>
    <t>MOS HTE 000047-2022</t>
  </si>
  <si>
    <t>CASTILLO</t>
  </si>
  <si>
    <t>LUIS ALBERTO</t>
  </si>
  <si>
    <t>MAURE 5326</t>
  </si>
  <si>
    <t>MONTE CHINGOLO - LANUS</t>
  </si>
  <si>
    <t>TEMPERLEY- LOMAS DE ZAMORA</t>
  </si>
  <si>
    <t>ELSA ANTONIA</t>
  </si>
  <si>
    <t xml:space="preserve">TRIPODI </t>
  </si>
  <si>
    <t>LILIANA SARA</t>
  </si>
  <si>
    <t xml:space="preserve">DEL GIOVINE </t>
  </si>
  <si>
    <t>GOB. VERGARA N° 1959</t>
  </si>
  <si>
    <t>CUEVA</t>
  </si>
  <si>
    <t>FABIANA ELIZABETH</t>
  </si>
  <si>
    <t>GUARRACINO 2007</t>
  </si>
  <si>
    <t>fabianacueva275@gmail.com</t>
  </si>
  <si>
    <t xml:space="preserve">PURICELLI </t>
  </si>
  <si>
    <t>ADRIAN RUBEN</t>
  </si>
  <si>
    <t>MARGARITA WEILD 2635</t>
  </si>
  <si>
    <t xml:space="preserve">CHAVEZ </t>
  </si>
  <si>
    <t>HUGO</t>
  </si>
  <si>
    <t xml:space="preserve">DARWIN 2181 </t>
  </si>
  <si>
    <r>
      <rPr>
        <u/>
        <sz val="10"/>
        <color rgb="FF1155CC"/>
        <rFont val="Calibri"/>
      </rPr>
      <t>PATO.DE</t>
    </r>
    <r>
      <rPr>
        <sz val="10"/>
        <color rgb="FF000000"/>
        <rFont val="Calibri"/>
        <scheme val="minor"/>
      </rPr>
      <t>.ROJO@GMAIL.COM</t>
    </r>
  </si>
  <si>
    <t xml:space="preserve">OLIVA </t>
  </si>
  <si>
    <t>AIDA FABIANA</t>
  </si>
  <si>
    <t>DARWIN 2181</t>
  </si>
  <si>
    <t>MANCINI</t>
  </si>
  <si>
    <t>MARIANO ANDRES</t>
  </si>
  <si>
    <t xml:space="preserve">OSORIO 3130 </t>
  </si>
  <si>
    <t>giulianatetransporta@hotmail.com.ar</t>
  </si>
  <si>
    <t>DIEGO ALEJANDRO</t>
  </si>
  <si>
    <t>OSORIO 3130</t>
  </si>
  <si>
    <t>FERNANDEZ</t>
  </si>
  <si>
    <t>SEBASTIAN MAURO</t>
  </si>
  <si>
    <t>AV. ROSALES N° 1926</t>
  </si>
  <si>
    <t>sf851842@gmail.com</t>
  </si>
  <si>
    <t>RICO</t>
  </si>
  <si>
    <t>ALEJANDRA INES</t>
  </si>
  <si>
    <t>MOS HTE-000045-2022</t>
  </si>
  <si>
    <t>JINEZ</t>
  </si>
  <si>
    <t>MARTIN LEONEL</t>
  </si>
  <si>
    <t>ALVEAR 5882</t>
  </si>
  <si>
    <t>SAN JOSE - ALTE BROWN</t>
  </si>
  <si>
    <t>jinezmartin@hotmail.com</t>
  </si>
  <si>
    <t>SALDIVIA</t>
  </si>
  <si>
    <t>CAROLINA DANIELA</t>
  </si>
  <si>
    <t>PIO COLLIVADINO 630</t>
  </si>
  <si>
    <t>MOS HTE -000005-2023</t>
  </si>
  <si>
    <t>juandanielconsentino@gmail.com</t>
  </si>
  <si>
    <t xml:space="preserve">MESSINA </t>
  </si>
  <si>
    <t>RIO DE JANEIRO 760</t>
  </si>
  <si>
    <t>M. CANE 823</t>
  </si>
  <si>
    <t>BP-SPRINTER 413 CDI/C 4025</t>
  </si>
  <si>
    <t>Cambio de Titular y Renovación</t>
  </si>
  <si>
    <t>GOROSITO</t>
  </si>
  <si>
    <t>JUAN MARCELO</t>
  </si>
  <si>
    <t>HEREDIA 5460</t>
  </si>
  <si>
    <t>WILDE - AVELLANEDA</t>
  </si>
  <si>
    <t>mgorosito899@gmail.com</t>
  </si>
  <si>
    <t>DAIANA ABIGAIL</t>
  </si>
  <si>
    <t>TIMPANO</t>
  </si>
  <si>
    <t>LEONOR</t>
  </si>
  <si>
    <t>JUNCAL 2895</t>
  </si>
  <si>
    <t>VIDELA</t>
  </si>
  <si>
    <t>VICTOR HUGO</t>
  </si>
  <si>
    <t>TUCUMAN 3255</t>
  </si>
  <si>
    <t>DAMORE</t>
  </si>
  <si>
    <t>VICTOR RAUL</t>
  </si>
  <si>
    <t>JULIAN ALEJANDRO</t>
  </si>
  <si>
    <t>GUIDO 2331</t>
  </si>
  <si>
    <t>SANGUINETTI</t>
  </si>
  <si>
    <t>MATIAS ESTEBAN</t>
  </si>
  <si>
    <t>VILLEGAS</t>
  </si>
  <si>
    <t>FABIAN ESTEBAN</t>
  </si>
  <si>
    <t>PENSAMIENTO 5912</t>
  </si>
  <si>
    <t>CLAYPOLE-ALTE BROWN</t>
  </si>
  <si>
    <t>SANCHEZ</t>
  </si>
  <si>
    <t>PRISCILA MARIANELLA</t>
  </si>
  <si>
    <t>EL ZORZAL 3580</t>
  </si>
  <si>
    <t xml:space="preserve">CARABELAS 77 </t>
  </si>
  <si>
    <t>BUSTAMANTE</t>
  </si>
  <si>
    <t>JORGE DANIEL</t>
  </si>
  <si>
    <t>EL VENTEVEO 1015</t>
  </si>
  <si>
    <t>SAN JOSE- ALTE. BROWN</t>
  </si>
  <si>
    <t>AGUILERA</t>
  </si>
  <si>
    <t>NADIA JOHANNA</t>
  </si>
  <si>
    <t>MITRE 4948</t>
  </si>
  <si>
    <t>SAN JOSE- ALTE.BROWN</t>
  </si>
  <si>
    <t>MOS HTE-000013-2023</t>
  </si>
  <si>
    <t>MAURE</t>
  </si>
  <si>
    <t>LUCIANA ELENA</t>
  </si>
  <si>
    <t>SCARAMAL</t>
  </si>
  <si>
    <t>DANIEL DARIO</t>
  </si>
  <si>
    <t>F. GARCIA ROMERO 3605</t>
  </si>
  <si>
    <t>BAR.GOMEZ0909@GMAIL.COM</t>
  </si>
  <si>
    <t xml:space="preserve">ROJAS </t>
  </si>
  <si>
    <t>VALCARCEL</t>
  </si>
  <si>
    <t>ADRIANA EDITH</t>
  </si>
  <si>
    <t>FRANCISCO GARCIA ROMERO 3605</t>
  </si>
  <si>
    <t>MOS HTE-000043-2023</t>
  </si>
  <si>
    <t>OTTONE</t>
  </si>
  <si>
    <t>CARLOS</t>
  </si>
  <si>
    <t>25 DE MAYO 982</t>
  </si>
  <si>
    <t>bussvatar@gmail.com</t>
  </si>
  <si>
    <t>COMET</t>
  </si>
  <si>
    <t>MILAGROS AGUSTINA</t>
  </si>
  <si>
    <t>J. V. GONZALEZ 2793 5°A</t>
  </si>
  <si>
    <t xml:space="preserve">trans_niet@hotmail.com </t>
  </si>
  <si>
    <t>MOS HTE-000044-2022</t>
  </si>
  <si>
    <t xml:space="preserve">SEGOVIA </t>
  </si>
  <si>
    <t>ALEJANDRINA EDITH</t>
  </si>
  <si>
    <t>SALTO</t>
  </si>
  <si>
    <t>RODRIGO MARTIN</t>
  </si>
  <si>
    <t>MOS HTE-000034-2023</t>
  </si>
  <si>
    <t xml:space="preserve">SALVADORI </t>
  </si>
  <si>
    <t>RODRIGO</t>
  </si>
  <si>
    <t>MANUEL MAZA 1169</t>
  </si>
  <si>
    <t>SALVADORI</t>
  </si>
  <si>
    <t>VALERIA GISELA</t>
  </si>
  <si>
    <t>SECCHIAROLI</t>
  </si>
  <si>
    <t>FRANCA ROSA</t>
  </si>
  <si>
    <t>TUCUMAN 4753</t>
  </si>
  <si>
    <t>francarosa26@gmail.com</t>
  </si>
  <si>
    <t xml:space="preserve">BALDINI </t>
  </si>
  <si>
    <t>JESICA NATALIA</t>
  </si>
  <si>
    <t>9 DE JULIO 3860</t>
  </si>
  <si>
    <t>BAIO</t>
  </si>
  <si>
    <t>ALEJANDRA VERONICA</t>
  </si>
  <si>
    <t xml:space="preserve">AYACUCHO 2374  </t>
  </si>
  <si>
    <t xml:space="preserve">RICO </t>
  </si>
  <si>
    <t>MOS HTE-000012-2023</t>
  </si>
  <si>
    <t>CAMPERO</t>
  </si>
  <si>
    <t>GABRIELA GISELE</t>
  </si>
  <si>
    <t>ROCHA</t>
  </si>
  <si>
    <t>TELMA LORENA</t>
  </si>
  <si>
    <t>EL TREBOL 3620</t>
  </si>
  <si>
    <t>SPRINTER 310D/C3550</t>
  </si>
  <si>
    <t>fer.vico_400@hotmail.com</t>
  </si>
  <si>
    <t>VELARDEZ</t>
  </si>
  <si>
    <t>EDUARDO RAUL</t>
  </si>
  <si>
    <t xml:space="preserve">GABOTO 5835 </t>
  </si>
  <si>
    <t>SAN JOSE - ALTE. BROWN</t>
  </si>
  <si>
    <t>damianvelardez@outlook.com</t>
  </si>
  <si>
    <t>DAMIAN ANTONIO</t>
  </si>
  <si>
    <t>KEILA AILEN</t>
  </si>
  <si>
    <t>ADROGUE - ALTE. BROWN</t>
  </si>
  <si>
    <t xml:space="preserve">F GARCIA ROMERO 3605 </t>
  </si>
  <si>
    <r>
      <rPr>
        <u/>
        <sz val="10"/>
        <color rgb="FF1155CC"/>
        <rFont val="Calibri"/>
      </rPr>
      <t>R. DE</t>
    </r>
    <r>
      <rPr>
        <sz val="10"/>
        <color rgb="FF000000"/>
        <rFont val="Calibri"/>
        <scheme val="minor"/>
      </rPr>
      <t xml:space="preserve"> ESCALADA- LANUS</t>
    </r>
  </si>
  <si>
    <t>VALLEJOS</t>
  </si>
  <si>
    <t>LARRAZABAL 2650</t>
  </si>
  <si>
    <t>CERIZOLA</t>
  </si>
  <si>
    <t>DANILA SOL</t>
  </si>
  <si>
    <t>M. CASTRO 3336</t>
  </si>
  <si>
    <t>SALVATIERRA</t>
  </si>
  <si>
    <t>JUAN ALEJANDRO</t>
  </si>
  <si>
    <t xml:space="preserve">PEDERNERA 1215 </t>
  </si>
  <si>
    <t>RIZZO MAURO</t>
  </si>
  <si>
    <t>RUIZ</t>
  </si>
  <si>
    <t>ERNESTO RAUL</t>
  </si>
  <si>
    <t>CAXARAVILLE 2544</t>
  </si>
  <si>
    <t>SARANDI-AVELLANEDA</t>
  </si>
  <si>
    <t>MUMBACH</t>
  </si>
  <si>
    <t>MATIAS MIGUEL</t>
  </si>
  <si>
    <t>CHURRINCHE 3861</t>
  </si>
  <si>
    <t>matias18m@hotmail.com</t>
  </si>
  <si>
    <t>DEL NEGRO</t>
  </si>
  <si>
    <t>813 N° 2771</t>
  </si>
  <si>
    <t>QUILMES</t>
  </si>
  <si>
    <t>carolina_enina@hotmail.com</t>
  </si>
  <si>
    <t>MOS HTE-000029-2023</t>
  </si>
  <si>
    <t>ALFERO</t>
  </si>
  <si>
    <t>DIEGO OMAR</t>
  </si>
  <si>
    <t>TACUARI 1537</t>
  </si>
  <si>
    <t>diegoalfero@gmail.com</t>
  </si>
  <si>
    <t>SZULZYK</t>
  </si>
  <si>
    <t>SANDRA NOEMI</t>
  </si>
  <si>
    <t>MANUEL MAZA 2964</t>
  </si>
  <si>
    <t>VILLA DIAMANTE - LANUS</t>
  </si>
  <si>
    <t>MOS HTE-000064-2022</t>
  </si>
  <si>
    <t xml:space="preserve">FRIAS </t>
  </si>
  <si>
    <t>RAMON EDUARDO</t>
  </si>
  <si>
    <t>EL MIRASOL 2746</t>
  </si>
  <si>
    <t>SAN JOSE- TEMPERLEY- L. DE ZAMORA</t>
  </si>
  <si>
    <t>PAOLILLO</t>
  </si>
  <si>
    <t xml:space="preserve">LENCINA </t>
  </si>
  <si>
    <t>ANA MARIA</t>
  </si>
  <si>
    <t>BLAS PARERA 828</t>
  </si>
  <si>
    <t>anitamellis70@gmail.com</t>
  </si>
  <si>
    <t xml:space="preserve">HERMOSILLA </t>
  </si>
  <si>
    <t>JUAN OMAR</t>
  </si>
  <si>
    <t>LENCINA</t>
  </si>
  <si>
    <t>FRANK</t>
  </si>
  <si>
    <t>FORNAROLI</t>
  </si>
  <si>
    <t>CLAUDIO</t>
  </si>
  <si>
    <t>GANA 145</t>
  </si>
  <si>
    <t>LINIERS- CABA</t>
  </si>
  <si>
    <t xml:space="preserve">FRANK        </t>
  </si>
  <si>
    <t xml:space="preserve">SONIA BEATRIZ        </t>
  </si>
  <si>
    <t xml:space="preserve">YERBAL 2690        </t>
  </si>
  <si>
    <t xml:space="preserve"> MERCEDES BENZ</t>
  </si>
  <si>
    <t>BMO 388 VERSION  1618/L55 CA</t>
  </si>
  <si>
    <t>MOS HTE-000025-2023</t>
  </si>
  <si>
    <t>AGUILAR</t>
  </si>
  <si>
    <t>JOSE IGNACIO RUCCI 2744</t>
  </si>
  <si>
    <t>URUEÑA</t>
  </si>
  <si>
    <t xml:space="preserve">LA RIOJA 687 </t>
  </si>
  <si>
    <t>SAN JOSE- ADROGUE- ALTE. BROWN</t>
  </si>
  <si>
    <t>LYS</t>
  </si>
  <si>
    <t>VALENTINA</t>
  </si>
  <si>
    <t xml:space="preserve">PAVON </t>
  </si>
  <si>
    <t>TERESITA CECILIA</t>
  </si>
  <si>
    <t>QUILMES 2005</t>
  </si>
  <si>
    <t>TEMPERLEY</t>
  </si>
  <si>
    <t>trans_cpavon@hotmail.com</t>
  </si>
  <si>
    <t>MARIA CECILIA</t>
  </si>
  <si>
    <t>HNOS. WAGNER 381</t>
  </si>
  <si>
    <t>SGO. DEL ESTERO</t>
  </si>
  <si>
    <t>CAVIGLIA</t>
  </si>
  <si>
    <t>WALTER NORBERTO</t>
  </si>
  <si>
    <t>SUIPACHA 1036</t>
  </si>
  <si>
    <t>JAQUELINE FLORENCIA</t>
  </si>
  <si>
    <t>LOS POZOS 4268</t>
  </si>
  <si>
    <t>VILLA DOMINICO - AVELLANEDA</t>
  </si>
  <si>
    <t>MOS HTE-000031-2023</t>
  </si>
  <si>
    <t xml:space="preserve">FAVRE </t>
  </si>
  <si>
    <t>ROBERTO MARCELO</t>
  </si>
  <si>
    <t>LLAVALLOL 1321 3DTO 3</t>
  </si>
  <si>
    <t>LANUS OESTE - LANUS</t>
  </si>
  <si>
    <t>marcelofavre1975@gmail.com</t>
  </si>
  <si>
    <t>ONTIVERO</t>
  </si>
  <si>
    <t>JORGE ANTONIO</t>
  </si>
  <si>
    <t>BUSTOS 1760</t>
  </si>
  <si>
    <t>BANFIELD- L. DE ZAMORA</t>
  </si>
  <si>
    <t>FAVRE</t>
  </si>
  <si>
    <t>LAUTARO TOMAS</t>
  </si>
  <si>
    <t>LAVALLEJA 2620 PB 3</t>
  </si>
  <si>
    <t>BARBARA AGUSTINA</t>
  </si>
  <si>
    <t>LUIS VERNET 3741</t>
  </si>
  <si>
    <t>R. DE ESCALADA - LANUS</t>
  </si>
  <si>
    <t>D´ONOFRIO</t>
  </si>
  <si>
    <t>ALEJANDRO JOSE</t>
  </si>
  <si>
    <t>YERBAL 2671</t>
  </si>
  <si>
    <t>COZZOLINO</t>
  </si>
  <si>
    <t>GDOR. UGARTE 4119</t>
  </si>
  <si>
    <t>miguelcozzolino60@gmail.com</t>
  </si>
  <si>
    <t>ORDOÑEZ</t>
  </si>
  <si>
    <t>CARMEN SUSANA</t>
  </si>
  <si>
    <t>RICARDO ENRIQUE</t>
  </si>
  <si>
    <t>RICAALFERO71@GMAIL.COM</t>
  </si>
  <si>
    <t>RUGGIERI</t>
  </si>
  <si>
    <t>SANDRA VIVIANA</t>
  </si>
  <si>
    <t>BOQUERON 3166</t>
  </si>
  <si>
    <t xml:space="preserve">CLAVERO </t>
  </si>
  <si>
    <t xml:space="preserve">MORENO 1979 </t>
  </si>
  <si>
    <t>MOS HTE-000036-2023</t>
  </si>
  <si>
    <t>SOSA</t>
  </si>
  <si>
    <t>ALICIA ALEJANDRA</t>
  </si>
  <si>
    <t>SOSAALICIAALEJANDRA@GMAIL.COM</t>
  </si>
  <si>
    <t>LILIANA ESTHER</t>
  </si>
  <si>
    <t>LA FUENTE 2864</t>
  </si>
  <si>
    <t>SARANDI- AVELLANEDA</t>
  </si>
  <si>
    <t>MOS HTE-000033-2023</t>
  </si>
  <si>
    <t>LENCINAS</t>
  </si>
  <si>
    <t>JULIO CESAR</t>
  </si>
  <si>
    <t>ISLANDIA 3736</t>
  </si>
  <si>
    <t>rociolencinas03@gmail.com</t>
  </si>
  <si>
    <t>LEDESMA</t>
  </si>
  <si>
    <t>KAREN NICOLE</t>
  </si>
  <si>
    <t>GUMA</t>
  </si>
  <si>
    <t>GERARDO DANIEL</t>
  </si>
  <si>
    <t>VALENTIN ALSINA  - LANUS</t>
  </si>
  <si>
    <t>BOQUETE</t>
  </si>
  <si>
    <t>MICAELA AILEN</t>
  </si>
  <si>
    <t>ARMENIA 1061 2°</t>
  </si>
  <si>
    <t xml:space="preserve"> N° LICENCIA</t>
  </si>
  <si>
    <t>EXPEDIENTE N°</t>
  </si>
  <si>
    <t>F. RESOLUCION</t>
  </si>
  <si>
    <t>OBLEA</t>
  </si>
  <si>
    <t>NOMBRE Y APELLIDO</t>
  </si>
  <si>
    <t>AGENCIA</t>
  </si>
  <si>
    <t>NOMBRE Y APELLIDO DEL TITULAR</t>
  </si>
  <si>
    <t>DNI</t>
  </si>
  <si>
    <t>DOMICILIO</t>
  </si>
  <si>
    <t>NOMBRE Y APELLIDO DEL CHOFER</t>
  </si>
  <si>
    <t>DNI CHOFER</t>
  </si>
  <si>
    <t>DOMINIO</t>
  </si>
  <si>
    <t>MARCA</t>
  </si>
  <si>
    <t>MODELO</t>
  </si>
  <si>
    <t>AÑO</t>
  </si>
  <si>
    <t>INSC. INICIAL</t>
  </si>
  <si>
    <t>CORREO ELECTRONICO</t>
  </si>
  <si>
    <t>TELEFONO</t>
  </si>
  <si>
    <t>EXPTE. N° MOS HRET-000036-2023</t>
  </si>
  <si>
    <t>rosayalbertoperalta@hotmail.com</t>
  </si>
  <si>
    <t>EXPTE. N° MOS HRET-000024-2022</t>
  </si>
  <si>
    <t>MATTIUSSI, SERGIO DANIEL</t>
  </si>
  <si>
    <t>DJ SERVICE</t>
  </si>
  <si>
    <t>EXPTE. N° MOS HRET-000028-2022</t>
  </si>
  <si>
    <t>NANCYGAUTO@GMAIL.COM</t>
  </si>
  <si>
    <t>EXPTE. N° MOS HRET-000024-2023</t>
  </si>
  <si>
    <t>PTE. R. ALFONSIN 1733 - LANUS ESTE</t>
  </si>
  <si>
    <t>gladysdelta@hotmail.com.ar</t>
  </si>
  <si>
    <t>EXPTE. MOS HRET-000030-2022</t>
  </si>
  <si>
    <t>LAZARTESERGIO11@HOTMAIL.COM</t>
  </si>
  <si>
    <t>EXPTE. N° MOS HRET-000022-2023</t>
  </si>
  <si>
    <t>gladysdelta@hotmail.com</t>
  </si>
  <si>
    <t>EXPTE. N° MOS HRET-000023-2023</t>
  </si>
  <si>
    <t>EXPTE. N° MOS HRET-000041-2023</t>
  </si>
  <si>
    <t>andy_27_12@hotmail.com</t>
  </si>
  <si>
    <t>EXPTE. N° MOS HRET-000042-2023</t>
  </si>
  <si>
    <t>COSENTINI VCENTE</t>
  </si>
  <si>
    <t>costillae92@gmail.com</t>
  </si>
  <si>
    <t>PARTICULAR</t>
  </si>
  <si>
    <t>EXPTE N° MOS HRET-000003-2022</t>
  </si>
  <si>
    <t>GIACUMBO CESAR ALEJANDRO</t>
  </si>
  <si>
    <t>ALEJANDROGIACUMBO@GMAIL.COM</t>
  </si>
  <si>
    <t>EXPTE. N° MOS HRET-000001-2021</t>
  </si>
  <si>
    <t>EXPTE. N° MOS HRET-000070-2022</t>
  </si>
  <si>
    <t>ALEMAGNO58@GMAIL.COM</t>
  </si>
  <si>
    <t>EXPTE. N° MOS HRET-000004-2021</t>
  </si>
  <si>
    <t>MOLINI HUGO VICENTE</t>
  </si>
  <si>
    <t>EXPTE. N° MOS HRET-000069-2022</t>
  </si>
  <si>
    <t>GABRIELA_PRAMPOLINI65@HOTMAIL.COM</t>
  </si>
  <si>
    <t>EXPTE. N° MOS HRET-000005-2021</t>
  </si>
  <si>
    <t>EXPTE. N° MOS HRET-000006-2021</t>
  </si>
  <si>
    <t>EXPTE. N° MOS HRET-000007-2021</t>
  </si>
  <si>
    <t>EXPTE. N° MOS HRET-000010-2021</t>
  </si>
  <si>
    <t>EXPTE. N° MOS HRET-000001-2022</t>
  </si>
  <si>
    <t>Wf6156767@gmail.com</t>
  </si>
  <si>
    <t>EXPTE. N° MOS HRET-000040-2023</t>
  </si>
  <si>
    <t>biancanerea2@gmail.com</t>
  </si>
  <si>
    <t>EXPTE. N° MOS HRET-000021-2022</t>
  </si>
  <si>
    <t>FELIX DANIEL L.</t>
  </si>
  <si>
    <t>SPRINT 1.8 N LT M/T</t>
  </si>
  <si>
    <t>EXPTE. N° MOS HRET-000044-2022</t>
  </si>
  <si>
    <t>SEBA.SEYCO.09@HOTMAIL.COM</t>
  </si>
  <si>
    <t>EXPTE. N° MOS HRET-000061-2022</t>
  </si>
  <si>
    <t>SARMIENTO 5095 -EZPELETA- QUILMES</t>
  </si>
  <si>
    <t>WARESNAY2012@GMAIL.COM</t>
  </si>
  <si>
    <t>EXPTE. N° MOS HRET-000074-2022</t>
  </si>
  <si>
    <t>MARIAVICTORIAGIACUMBO@GMAIL.COM</t>
  </si>
  <si>
    <t>EXPTE. N° MOS HRET-000008-2023</t>
  </si>
  <si>
    <t>EXPTE. N° MOS HRET-000031-2023</t>
  </si>
  <si>
    <t>nancygauto67@gmail.com</t>
  </si>
  <si>
    <t>EXPTE. N° MOS HRET-000039-2023</t>
  </si>
  <si>
    <t>dfelix.1957@gmail.com</t>
  </si>
  <si>
    <t>EXPTE. N° MOS HRET-000043-2023</t>
  </si>
  <si>
    <t>t.otos2@hotmail.com</t>
  </si>
  <si>
    <t>EXPTE. N° MOS HRET-000046-2023</t>
  </si>
  <si>
    <t>joseh.leon@hotmail.com</t>
  </si>
  <si>
    <t>EXPTE. N° MOS HRET-000052-2023</t>
  </si>
  <si>
    <t>gadysdelta@hotmail.com.ar</t>
  </si>
  <si>
    <t xml:space="preserve">  319C</t>
  </si>
  <si>
    <t>EXPTE. N° MOS HRET-000035-2022</t>
  </si>
  <si>
    <t>RUBENCONIVI@GMAIL.COM</t>
  </si>
  <si>
    <t>301C</t>
  </si>
  <si>
    <t>EXPTE. N° MOS HRET-000026-2022</t>
  </si>
  <si>
    <t>GSERGIOD@HOTMAIL.COM</t>
  </si>
  <si>
    <t>302C</t>
  </si>
  <si>
    <t>EXPTE. N° MOS HRET-000032-2023</t>
  </si>
  <si>
    <t>dieeidechsenloslagartos@gmail.com</t>
  </si>
  <si>
    <t>EXPTE. N° MOS HRET-000023-2022</t>
  </si>
  <si>
    <t>CORRADO, BETIANA SOLEDAD</t>
  </si>
  <si>
    <t>EXPTE. N° MOS HRET-000029-2022</t>
  </si>
  <si>
    <t>HECTOR RAUL MARTINEZ</t>
  </si>
  <si>
    <t>MHRAUL83@GMAIL.COM</t>
  </si>
  <si>
    <t>309C</t>
  </si>
  <si>
    <t>EXPTE. N° MOS HRET-000031-2022</t>
  </si>
  <si>
    <t>FABIANSI64@GMAIL.COM</t>
  </si>
  <si>
    <t>310C</t>
  </si>
  <si>
    <t>EXPTE. N° MOS HRET-000032-2022</t>
  </si>
  <si>
    <t>TITILEDESMA08@HOTMAIL.COM</t>
  </si>
  <si>
    <t>311C</t>
  </si>
  <si>
    <t>EXPTE. N° MOS HRET-000033-2022</t>
  </si>
  <si>
    <t>PLASENCIA MIRANDA ELVIAS ALAIN</t>
  </si>
  <si>
    <t>COCHABAMBA 858 - CABA</t>
  </si>
  <si>
    <t>ELVIS100686@HOTMAIL.COM</t>
  </si>
  <si>
    <t>312C</t>
  </si>
  <si>
    <t>EXPTE. N° MOS HRET-000034-2022</t>
  </si>
  <si>
    <t xml:space="preserve">GODOY CRUZ 246- BANFIELD </t>
  </si>
  <si>
    <t>ARODRIGUEZNAZZARI@GMAIL.COM</t>
  </si>
  <si>
    <t>315C</t>
  </si>
  <si>
    <t>EXPTE. N° MOS-HRET-000037-2022</t>
  </si>
  <si>
    <t>BERRIOSJUANCARLOS30@GMAIL.COM</t>
  </si>
  <si>
    <t>317C</t>
  </si>
  <si>
    <t>EXPTE. N° MOS HRET- 000038-2022</t>
  </si>
  <si>
    <t>DULCEMARINA@HOTMAIL.COM</t>
  </si>
  <si>
    <t>318C</t>
  </si>
  <si>
    <t>EXPTE. N° MOS-HRET-000036-2022</t>
  </si>
  <si>
    <t>ALEJANDRO.CARDINALE@HOTMAIL.COM</t>
  </si>
  <si>
    <t>320C</t>
  </si>
  <si>
    <t>EXPTE. N° MOS HRET-000039-2022</t>
  </si>
  <si>
    <t>HERNANDEZFELIX100269@GMAIL.COM</t>
  </si>
  <si>
    <t>330C</t>
  </si>
  <si>
    <t>EXPTE. N° MOS HRET-000033-2023</t>
  </si>
  <si>
    <t>claudioprados@yahoo.com</t>
  </si>
  <si>
    <t>331-C</t>
  </si>
  <si>
    <t>EXPTE. N° MOS HRET-000006-2022</t>
  </si>
  <si>
    <t>NEGRI ENRIQUE GUSTAVO</t>
  </si>
  <si>
    <t>NEGRI.ENRIQUE@HOTMAIL.COM</t>
  </si>
  <si>
    <t>332-C</t>
  </si>
  <si>
    <t>EXPTE. N° MOS HRET-000007-2022</t>
  </si>
  <si>
    <t>NOLASCO VANESA S.</t>
  </si>
  <si>
    <t>NOLASCOVANE9@GMAIL.COM</t>
  </si>
  <si>
    <t>333-C</t>
  </si>
  <si>
    <t>EXPTE. N° MOS HRET-000008-2022</t>
  </si>
  <si>
    <t>ANGELQUATTRONE@GMAIL.COM</t>
  </si>
  <si>
    <t>334-C</t>
  </si>
  <si>
    <t>EXPTE. N° MOS HRET-000009-2022</t>
  </si>
  <si>
    <t>DIEGO.LOPEZZ@YMAIL.COM</t>
  </si>
  <si>
    <t>335-C</t>
  </si>
  <si>
    <t>EXPTE. N° MOS HRET-000010-2022</t>
  </si>
  <si>
    <t>QUEVEDO CESAR FABIAN</t>
  </si>
  <si>
    <t>DJNEOJAVIER@GMAIL.COM</t>
  </si>
  <si>
    <t>336-C</t>
  </si>
  <si>
    <t>EXPTE. N° MOS HRET-000011-2022</t>
  </si>
  <si>
    <t>HERNANDEZ LUIS E.</t>
  </si>
  <si>
    <t>337-C</t>
  </si>
  <si>
    <t>EXPTE. N° MOS HRET-000012-2022</t>
  </si>
  <si>
    <t>PEREYRA PABLO B.</t>
  </si>
  <si>
    <t>338-C</t>
  </si>
  <si>
    <t>EXPTE. N° MOS HRET-000013-2022</t>
  </si>
  <si>
    <t>BRAMBATI DANIEL A.</t>
  </si>
  <si>
    <t>339-C</t>
  </si>
  <si>
    <t>EXPTE. N° MOS HRET-000014-2022</t>
  </si>
  <si>
    <t>DE LA TORRE MARIANO</t>
  </si>
  <si>
    <t>340-C</t>
  </si>
  <si>
    <t>EXPTE. N° MOS HRET-000016-2022</t>
  </si>
  <si>
    <t>GALLARDO PRADO E.</t>
  </si>
  <si>
    <t>EXPTE. N° MOS HRET-000072-2022</t>
  </si>
  <si>
    <t>M. AVELLANEDA 4961 - ALTE BROWN</t>
  </si>
  <si>
    <t>ENRIQUEGALLARDO_2015@HOTMAIL.COM</t>
  </si>
  <si>
    <t>342C</t>
  </si>
  <si>
    <t>EXPTE. N° MOS HRET-000018-2022</t>
  </si>
  <si>
    <t>RUIZ, LUCIANO EZEQUIEL</t>
  </si>
  <si>
    <t>343-C</t>
  </si>
  <si>
    <t>EXPTE. N° MOS HRET-000019-2022</t>
  </si>
  <si>
    <t>CONSESKI, MARISA ESTELA</t>
  </si>
  <si>
    <t>344C</t>
  </si>
  <si>
    <t>EXPTE. N° MOS HRET-000040-2022</t>
  </si>
  <si>
    <t>RAMONFERNANDEZF@HOTMAIL.COM</t>
  </si>
  <si>
    <t>345-C</t>
  </si>
  <si>
    <t>EXPTE. N° MOS HRET-000017-2022</t>
  </si>
  <si>
    <t>RAGGI, ANDRES JOSE</t>
  </si>
  <si>
    <t>346-C</t>
  </si>
  <si>
    <t>EXPTE. N° MOS HRET-000022-2022</t>
  </si>
  <si>
    <t>LOPEZ, DAVID EFRAIN</t>
  </si>
  <si>
    <t>347-C</t>
  </si>
  <si>
    <t>EXPTE. N° MOS HRET-000041-2022</t>
  </si>
  <si>
    <t>CACERESCAMILA986@GMAIL.COM</t>
  </si>
  <si>
    <t>348C</t>
  </si>
  <si>
    <t>EXPTE. N° MOS HRET-000042-2022</t>
  </si>
  <si>
    <t>RYANYERMA@GMAIL.COM</t>
  </si>
  <si>
    <t>349C</t>
  </si>
  <si>
    <t>EXPTE. N° MOS HRET-000048-2023</t>
  </si>
  <si>
    <t>EPARRAC@HOTMAIL.COM</t>
  </si>
  <si>
    <t>351C</t>
  </si>
  <si>
    <t>EXPTE. N° MOS HRET-000045-2022</t>
  </si>
  <si>
    <t>MATIASJAVIERVALLEJOS@GMAIL.COM</t>
  </si>
  <si>
    <t>352C</t>
  </si>
  <si>
    <t>EXPTE. N° MOS HRET-000046-2022</t>
  </si>
  <si>
    <t>RUBENSANGUINETTI9@GMAIL.COM</t>
  </si>
  <si>
    <t>353C</t>
  </si>
  <si>
    <t>EXPTE. N° MOS HRET-000047-2022</t>
  </si>
  <si>
    <t>MOGODAYA@HOTMAIL.COM</t>
  </si>
  <si>
    <t>354C</t>
  </si>
  <si>
    <t>EXPTE. N° MOS HRET-000048-2022</t>
  </si>
  <si>
    <t>LEOLAGO88@GMAIL.COM</t>
  </si>
  <si>
    <t>355C</t>
  </si>
  <si>
    <t>EXPTE. N° MOS HRET-000049-2022</t>
  </si>
  <si>
    <t>PABLO.PASCUAL@LIVE.COM</t>
  </si>
  <si>
    <t>356C</t>
  </si>
  <si>
    <t>EXPTE. N° MOS HRET-000050-2022</t>
  </si>
  <si>
    <t>BAIROLETO24@YAHOO.COM.AR</t>
  </si>
  <si>
    <t>357C</t>
  </si>
  <si>
    <t>EXPTE. N° MOS HRET-000052-2022</t>
  </si>
  <si>
    <t>MARCELOMARIODOMINGUEZ@GMAIL.COM</t>
  </si>
  <si>
    <t>358C</t>
  </si>
  <si>
    <t>EXPTE. N° MOS HRET-000051-2022</t>
  </si>
  <si>
    <t xml:space="preserve">CALLE 164 N° 6033 -HUDSON- BERAZATEGUI </t>
  </si>
  <si>
    <t>EZEQUIEL.PIZZOLATTO.SANTIAGO@GMAIL.COM</t>
  </si>
  <si>
    <t>359C</t>
  </si>
  <si>
    <t>EXPTE. N° MOS HRET-000053-2022</t>
  </si>
  <si>
    <t>VANDIEJU@HOTMAIL.COM</t>
  </si>
  <si>
    <t>360C</t>
  </si>
  <si>
    <t>EXPTE. N° MOS HRET-000054-2022</t>
  </si>
  <si>
    <t>PILLAGASTON@GMAIL.COM</t>
  </si>
  <si>
    <t>EXPTE. N° MOS HRET-000045-2023</t>
  </si>
  <si>
    <t>pillagaston@gmail.com</t>
  </si>
  <si>
    <t>361C</t>
  </si>
  <si>
    <t>EXPTE. N° MOS HRET-000055-2022</t>
  </si>
  <si>
    <t>FRAY JULIAN LAGOS 973 D°2 - LANUS</t>
  </si>
  <si>
    <t>LEAUGUSTO7711@GMAIL.COM</t>
  </si>
  <si>
    <t>362C</t>
  </si>
  <si>
    <t>EXPTE. N° MOS HRET-000056-2022</t>
  </si>
  <si>
    <t>MARTIN.SACCULLO@HOTMAIL.COM</t>
  </si>
  <si>
    <t>363C</t>
  </si>
  <si>
    <t>EXPTE. N° MOS HRET-000047-2023</t>
  </si>
  <si>
    <t xml:space="preserve">IGLESIAS LILIANA </t>
  </si>
  <si>
    <t>CALLE 392 N° 728 - QUILMES</t>
  </si>
  <si>
    <t>FDALESSANDRO66@HOTMAIL.COM</t>
  </si>
  <si>
    <t>364C</t>
  </si>
  <si>
    <t>EXPTE. N° MOS HRET-000058-2022</t>
  </si>
  <si>
    <t>DIEGODARIOCASTRO@GMAIL.COM</t>
  </si>
  <si>
    <t>365C</t>
  </si>
  <si>
    <t>EXPTE. N° MOS HRET-000059-2022</t>
  </si>
  <si>
    <t>FERRE 2115 - AVELLANEDA</t>
  </si>
  <si>
    <t>MARCELOMORBIDONI@GMAIL.COM</t>
  </si>
  <si>
    <t>366C</t>
  </si>
  <si>
    <t>EXPTE. N° MOS HRET-000060-2022</t>
  </si>
  <si>
    <t>MAURO.PLOMERIA@GMAIL.COM</t>
  </si>
  <si>
    <t>367C</t>
  </si>
  <si>
    <t>EXPTE. N° MOS HRET-000062-2022</t>
  </si>
  <si>
    <t>GUAITA GONZALEZ ELIZBETH ALEXANDRA</t>
  </si>
  <si>
    <t>ABELARDO_MEDINA@OUTLOOK.ES</t>
  </si>
  <si>
    <t>369C</t>
  </si>
  <si>
    <t>EXPTE. N° MOS HRET-000063-2022</t>
  </si>
  <si>
    <t>RLLAMAS21@GMAIL.COM</t>
  </si>
  <si>
    <t>370C</t>
  </si>
  <si>
    <t>EXPTE. N° MOS HRET-000064-2022</t>
  </si>
  <si>
    <t>CLAUDIOFABIANPEREZ707@GMAIL.COM</t>
  </si>
  <si>
    <t>371C</t>
  </si>
  <si>
    <t>EXPTE. N° MOS HRET-000065-2022</t>
  </si>
  <si>
    <t>GASTYVERA@GMAIL.COM</t>
  </si>
  <si>
    <t>372C</t>
  </si>
  <si>
    <t>EXPTE. N° MOS HRET-000049-2023</t>
  </si>
  <si>
    <t>MUNTNICOLAS@GMAIL.COM</t>
  </si>
  <si>
    <t>373C</t>
  </si>
  <si>
    <t>EXPTE. N° MOS HRET-000051-2023</t>
  </si>
  <si>
    <t>ELPAPU005@YAHOO.COM.AR</t>
  </si>
  <si>
    <t>374C</t>
  </si>
  <si>
    <t>EXPTE. N° MOS HRET-000071-2022</t>
  </si>
  <si>
    <t>SERGIO_KOLOSZUK@HOTMAIL.COM</t>
  </si>
  <si>
    <t>375C</t>
  </si>
  <si>
    <t>EXPTE. N° MOS HRET-000073-2022</t>
  </si>
  <si>
    <t>LUISVWGOLF25LT@GMAIL.COM</t>
  </si>
  <si>
    <t>377C</t>
  </si>
  <si>
    <t>EXPTE. N° MOS HRET-000075-2022</t>
  </si>
  <si>
    <t xml:space="preserve">CAMPOS ROBERTO FABIAN </t>
  </si>
  <si>
    <t>CAMPOSROBERTO80@HOTMAIL.COM</t>
  </si>
  <si>
    <t>EXPTE. N° MOS HRET-000076-2022</t>
  </si>
  <si>
    <t>EL CANO 232 - LOMAS DE ZAMORA</t>
  </si>
  <si>
    <t>PABLO DANIEL PEREZ</t>
  </si>
  <si>
    <t>PABLOPEREZ2003@GMAIL.COM</t>
  </si>
  <si>
    <t>379C</t>
  </si>
  <si>
    <t>EXPTE. N° MOS HRET-000077-2022</t>
  </si>
  <si>
    <t>EMILIANOFERNANDEZCABIFY@GMAIL.COM</t>
  </si>
  <si>
    <t>380C</t>
  </si>
  <si>
    <t>EXPTE. N° MOS HRET-000078-2022</t>
  </si>
  <si>
    <t>JRCLEMENTE73@GMAIL.COM</t>
  </si>
  <si>
    <t>381C</t>
  </si>
  <si>
    <t>EXPTE. N° MOS HRET-000079-2022</t>
  </si>
  <si>
    <t>M.MARTINOLI@YAHOO.COM.AR</t>
  </si>
  <si>
    <t>382C</t>
  </si>
  <si>
    <t>EXPTE. N° MOS HRET-000080-2022</t>
  </si>
  <si>
    <t>CORDOBA 835</t>
  </si>
  <si>
    <t>PROFLUCASROBLES@HOTMAIL.COM</t>
  </si>
  <si>
    <t>383C</t>
  </si>
  <si>
    <t>EXPTE. N° MOS HRET-000001-2023</t>
  </si>
  <si>
    <t>NUMISVALLEJO@HOTMAIL.COM</t>
  </si>
  <si>
    <t>384C</t>
  </si>
  <si>
    <t>EXPTE. N° MOS HRET-000002-2023</t>
  </si>
  <si>
    <t>ALAN128E@HOTMAIL.COM</t>
  </si>
  <si>
    <t>385C</t>
  </si>
  <si>
    <t>EXPTE. N° MOS HRET-000003-2023</t>
  </si>
  <si>
    <t>JOSELUPEYTON@GMAIL.COM</t>
  </si>
  <si>
    <t>386C</t>
  </si>
  <si>
    <t>EXPTE. N° MOS HRET-000004-2023</t>
  </si>
  <si>
    <t>MARIO BRAVO 1884 - PIÑEYRO- AVELLANEDA</t>
  </si>
  <si>
    <t>ADOLFODAMIANVEDIA@GMAIL.COM</t>
  </si>
  <si>
    <t>387C</t>
  </si>
  <si>
    <t>EXPTE. N° MOS HRET-000005-2023</t>
  </si>
  <si>
    <t>JULIOCUARTO4@HOTMAIL.COM</t>
  </si>
  <si>
    <t>388C</t>
  </si>
  <si>
    <t>EXPTE. N° MOS HRET-000006-2023</t>
  </si>
  <si>
    <t>MENDOZA 1085- L. GUILLON- E. ECHEVERRIA</t>
  </si>
  <si>
    <t>NATARIO.LARA@GMAIL.COM</t>
  </si>
  <si>
    <t>7505-3600</t>
  </si>
  <si>
    <t>389C</t>
  </si>
  <si>
    <t>EXPTE. N° MOS HRET-000007-2023</t>
  </si>
  <si>
    <t>FAVIOFELICE@GMAIL.COM</t>
  </si>
  <si>
    <t>391C</t>
  </si>
  <si>
    <t>EXPTE. N° MOS HRET-000009-2023</t>
  </si>
  <si>
    <t>EDINFAB2010@HOTMAIL.COM</t>
  </si>
  <si>
    <t>392C</t>
  </si>
  <si>
    <t>EXPTE. N° MOS HRET-000010-2023</t>
  </si>
  <si>
    <t>FREDYHERNANDEZ94@GMAIL.COM</t>
  </si>
  <si>
    <t>393C</t>
  </si>
  <si>
    <t>EXPTE. N° MOS HRET-000011-2023</t>
  </si>
  <si>
    <t>JOABRAHAM3132@GMAIL.COM</t>
  </si>
  <si>
    <t xml:space="preserve">394C </t>
  </si>
  <si>
    <t>EXPTE. N° MOS HRET-000012-2023</t>
  </si>
  <si>
    <t>DELAFUENTEDM@GMAIL.COM</t>
  </si>
  <si>
    <t>395C</t>
  </si>
  <si>
    <t>EXPTE. N° MOS HRET-000013-2023</t>
  </si>
  <si>
    <t>PIROVANO 1139 - LANUS</t>
  </si>
  <si>
    <t xml:space="preserve">CRONOS DRIVE 1.3 GSE BZ </t>
  </si>
  <si>
    <t>SHERMAN.8257@GMAIL.COM</t>
  </si>
  <si>
    <t>396C</t>
  </si>
  <si>
    <t>EXPTE. N° MOS HRET-000014-2023</t>
  </si>
  <si>
    <t>ROQUEGODOY6332@GMAIL.COM</t>
  </si>
  <si>
    <t>397C</t>
  </si>
  <si>
    <t>EXPTE. N° MOS HRET-000015-2023</t>
  </si>
  <si>
    <t>AKAREN_AL@HOTMAIL.COM</t>
  </si>
  <si>
    <t xml:space="preserve">398C </t>
  </si>
  <si>
    <t>EXPTE. N° MOS HRET-000016-2023</t>
  </si>
  <si>
    <t>PJE. ARIOLA 781 - GERLI - AVELLANEDA</t>
  </si>
  <si>
    <t>KAGIANOLI@HOTMAIL.COM</t>
  </si>
  <si>
    <t>399C</t>
  </si>
  <si>
    <t>EXPTE. N° MOS HRET-000017-2023</t>
  </si>
  <si>
    <t>OJEDA SAMUEL AGUSTIN LEANDRO</t>
  </si>
  <si>
    <t>GUTEMBERG 1103 - PIÑEIRO- AVELLANEDA</t>
  </si>
  <si>
    <t>LEANDROAGUSTIN85@GMAIL.COM</t>
  </si>
  <si>
    <t>400C</t>
  </si>
  <si>
    <t>EXPTE. N° MOS HRET-000018-2023</t>
  </si>
  <si>
    <t>M. RODRIGUEZ 5111 - EZPELETA - QUILMES</t>
  </si>
  <si>
    <t xml:space="preserve">SPIN 1.8 N LT M/T </t>
  </si>
  <si>
    <t>mezamarcela552@gmail.com</t>
  </si>
  <si>
    <t>401C</t>
  </si>
  <si>
    <t>EXPTE. N° MOS HRET-000019-2023</t>
  </si>
  <si>
    <t>marianopereyra93@live.com</t>
  </si>
  <si>
    <t>402C</t>
  </si>
  <si>
    <t>EXPTE. N° MOS HRET-000020-2023</t>
  </si>
  <si>
    <t>T. DI TELLA 1436 - PIÑEIRO- AVELLANEDA</t>
  </si>
  <si>
    <t>infoguilleruiz@gmail.com</t>
  </si>
  <si>
    <t>403C</t>
  </si>
  <si>
    <t>EXPTE. N° MOS HRET-000021-2023</t>
  </si>
  <si>
    <t>miguel.labroca@gmail.com</t>
  </si>
  <si>
    <t>404C</t>
  </si>
  <si>
    <t>EXPTE. N° MOS HRET-000025-2023</t>
  </si>
  <si>
    <t>rodrigoabelaira19@gmail.com</t>
  </si>
  <si>
    <t>405C</t>
  </si>
  <si>
    <t>EXPTE. N° MOS HRET-000026-2023</t>
  </si>
  <si>
    <t>oscar.almada@hotmail.com</t>
  </si>
  <si>
    <t>406C</t>
  </si>
  <si>
    <t>EXPTE. N° MOS HRET-000027-2023</t>
  </si>
  <si>
    <t>dionissio14@gmail.com</t>
  </si>
  <si>
    <t>407C</t>
  </si>
  <si>
    <t>EXPTE. N° MOS HRET-000028-2023</t>
  </si>
  <si>
    <t>marcepresas74@gmail.com</t>
  </si>
  <si>
    <t>408C</t>
  </si>
  <si>
    <t>EXPTE. N° MOS HRET-000029-2023</t>
  </si>
  <si>
    <t>SAN PEDRITO 621 4°- CABA</t>
  </si>
  <si>
    <t>hrl6072@gmail.com</t>
  </si>
  <si>
    <t>409C</t>
  </si>
  <si>
    <t>EXPTE. N° MOS HRET-000030-2023</t>
  </si>
  <si>
    <t>cgr333@hotmail.com</t>
  </si>
  <si>
    <t>411C</t>
  </si>
  <si>
    <t>EXPTE. N° MOS HRET-000034-2023</t>
  </si>
  <si>
    <t>gallegogonzalez.97@gmail.com</t>
  </si>
  <si>
    <t>412C</t>
  </si>
  <si>
    <t>EXPTE. N° MOS HRET-000037-2023</t>
  </si>
  <si>
    <t>luiselgato52@gmail.com</t>
  </si>
  <si>
    <t>413C</t>
  </si>
  <si>
    <t>EXPTE. N° MOS HRET-000038-2023</t>
  </si>
  <si>
    <t>plasenciamiguelangel341@gmail.com</t>
  </si>
  <si>
    <t>416C</t>
  </si>
  <si>
    <t>EXPTE. N° MOS HRET-000044-2023</t>
  </si>
  <si>
    <t>gonzalobelluati@gmail.com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</si>
</sst>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yyyy"/>
    <numFmt numFmtId="166" formatCode="yy"/>
  </numFmts>
  <fonts count="30"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rgb="FF000000"/>
      <name val="Calibri"/>
    </font>
    <font>
      <sz val="1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000000"/>
      <name val="Calibri"/>
    </font>
    <font>
      <sz val="9"/>
      <color rgb="FF424242"/>
      <name val="Roboto"/>
    </font>
    <font>
      <sz val="10"/>
      <color theme="1"/>
      <name val="Arial"/>
    </font>
    <font>
      <i/>
      <sz val="10"/>
      <color theme="1"/>
      <name val="Arial"/>
    </font>
    <font>
      <b/>
      <sz val="12"/>
      <color theme="1"/>
      <name val="Arial"/>
    </font>
    <font>
      <b/>
      <sz val="10"/>
      <color rgb="FF000000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9"/>
      <color rgb="FF1D2129"/>
      <name val="Helvetica Neue"/>
    </font>
    <font>
      <sz val="8"/>
      <color theme="1"/>
      <name val="Arial"/>
    </font>
    <font>
      <sz val="8"/>
      <color theme="1"/>
      <name val="Calibri"/>
      <scheme val="minor"/>
    </font>
    <font>
      <sz val="10"/>
      <color rgb="FF000000"/>
      <name val="Arial"/>
    </font>
    <font>
      <b/>
      <sz val="24"/>
      <color theme="1"/>
      <name val="Arial"/>
    </font>
    <font>
      <sz val="18"/>
      <color theme="1"/>
      <name val="Calibri"/>
      <scheme val="minor"/>
    </font>
    <font>
      <sz val="13"/>
      <color theme="1"/>
      <name val="Calibri"/>
      <scheme val="minor"/>
    </font>
    <font>
      <sz val="18"/>
      <color rgb="FF000000"/>
      <name val="Calibri"/>
      <scheme val="minor"/>
    </font>
    <font>
      <sz val="11"/>
      <color rgb="FF000000"/>
      <name val="Calibri"/>
    </font>
    <font>
      <b/>
      <sz val="36"/>
      <color theme="1"/>
      <name val="Calibri"/>
      <scheme val="minor"/>
    </font>
    <font>
      <u/>
      <sz val="10"/>
      <color rgb="FF0000FF"/>
      <name val="Calibri"/>
    </font>
    <font>
      <sz val="10"/>
      <color rgb="FF000000"/>
      <name val="Docs-Calibri"/>
    </font>
    <font>
      <u/>
      <sz val="10"/>
      <color rgb="FF1155CC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0" xfId="0" applyFont="1" applyFill="1"/>
    <xf numFmtId="0" fontId="3" fillId="4" borderId="1" xfId="0" applyFont="1" applyFill="1" applyBorder="1"/>
    <xf numFmtId="0" fontId="4" fillId="3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164" fontId="2" fillId="0" borderId="1" xfId="0" applyNumberFormat="1" applyFont="1" applyBorder="1"/>
    <xf numFmtId="0" fontId="2" fillId="4" borderId="1" xfId="0" applyFont="1" applyFill="1" applyBorder="1"/>
    <xf numFmtId="0" fontId="2" fillId="4" borderId="0" xfId="0" applyFont="1" applyFill="1"/>
    <xf numFmtId="164" fontId="2" fillId="4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3" fillId="0" borderId="0" xfId="0" applyFont="1"/>
    <xf numFmtId="0" fontId="2" fillId="0" borderId="0" xfId="0" applyFont="1" applyAlignment="1">
      <alignment horizontal="center"/>
    </xf>
    <xf numFmtId="14" fontId="2" fillId="4" borderId="0" xfId="0" applyNumberFormat="1" applyFont="1" applyFill="1"/>
    <xf numFmtId="0" fontId="8" fillId="4" borderId="1" xfId="0" applyFont="1" applyFill="1" applyBorder="1" applyAlignment="1">
      <alignment horizontal="right"/>
    </xf>
    <xf numFmtId="0" fontId="9" fillId="4" borderId="0" xfId="0" applyFont="1" applyFill="1" applyAlignment="1">
      <alignment horizontal="left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right"/>
    </xf>
    <xf numFmtId="164" fontId="2" fillId="3" borderId="0" xfId="0" applyNumberFormat="1" applyFont="1" applyFill="1"/>
    <xf numFmtId="164" fontId="2" fillId="4" borderId="0" xfId="0" applyNumberFormat="1" applyFont="1" applyFill="1"/>
    <xf numFmtId="0" fontId="2" fillId="0" borderId="9" xfId="0" applyFont="1" applyBorder="1"/>
    <xf numFmtId="0" fontId="13" fillId="4" borderId="14" xfId="0" applyFont="1" applyFill="1" applyBorder="1" applyAlignment="1">
      <alignment horizontal="left"/>
    </xf>
    <xf numFmtId="0" fontId="14" fillId="0" borderId="1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20" fontId="14" fillId="0" borderId="2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/>
    <xf numFmtId="0" fontId="16" fillId="0" borderId="26" xfId="0" applyFont="1" applyBorder="1"/>
    <xf numFmtId="0" fontId="16" fillId="0" borderId="29" xfId="0" applyFont="1" applyBorder="1"/>
    <xf numFmtId="0" fontId="16" fillId="0" borderId="31" xfId="0" applyFont="1" applyBorder="1"/>
    <xf numFmtId="0" fontId="16" fillId="0" borderId="1" xfId="0" applyFont="1" applyBorder="1"/>
    <xf numFmtId="0" fontId="10" fillId="0" borderId="36" xfId="0" applyFont="1" applyBorder="1"/>
    <xf numFmtId="0" fontId="18" fillId="0" borderId="32" xfId="0" applyFont="1" applyBorder="1"/>
    <xf numFmtId="0" fontId="18" fillId="0" borderId="33" xfId="0" applyFont="1" applyBorder="1"/>
    <xf numFmtId="0" fontId="18" fillId="0" borderId="0" xfId="0" applyFont="1"/>
    <xf numFmtId="0" fontId="19" fillId="0" borderId="0" xfId="0" applyFont="1"/>
    <xf numFmtId="0" fontId="16" fillId="0" borderId="3" xfId="0" applyFont="1" applyBorder="1"/>
    <xf numFmtId="0" fontId="20" fillId="0" borderId="10" xfId="0" applyFont="1" applyBorder="1"/>
    <xf numFmtId="0" fontId="20" fillId="0" borderId="0" xfId="0" applyFont="1"/>
    <xf numFmtId="0" fontId="20" fillId="0" borderId="12" xfId="0" applyFont="1" applyBorder="1"/>
    <xf numFmtId="0" fontId="2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33" xfId="0" applyFont="1" applyBorder="1"/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23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23" fillId="2" borderId="29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0" fontId="25" fillId="4" borderId="1" xfId="0" applyFont="1" applyFill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5" fontId="2" fillId="8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166" fontId="2" fillId="8" borderId="0" xfId="0" applyNumberFormat="1" applyFont="1" applyFill="1" applyAlignment="1">
      <alignment horizontal="center"/>
    </xf>
    <xf numFmtId="164" fontId="2" fillId="0" borderId="0" xfId="0" applyNumberFormat="1" applyFont="1"/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14" fontId="2" fillId="3" borderId="0" xfId="0" applyNumberFormat="1" applyFont="1" applyFill="1"/>
    <xf numFmtId="0" fontId="3" fillId="0" borderId="0" xfId="0" applyFont="1" applyAlignment="1">
      <alignment horizontal="right"/>
    </xf>
    <xf numFmtId="0" fontId="27" fillId="0" borderId="0" xfId="0" applyFont="1"/>
    <xf numFmtId="14" fontId="4" fillId="3" borderId="0" xfId="0" applyNumberFormat="1" applyFont="1" applyFill="1" applyAlignment="1">
      <alignment horizontal="right"/>
    </xf>
    <xf numFmtId="0" fontId="28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left" wrapText="1"/>
    </xf>
    <xf numFmtId="14" fontId="25" fillId="0" borderId="1" xfId="0" applyNumberFormat="1" applyFont="1" applyBorder="1" applyAlignment="1">
      <alignment horizontal="left" wrapText="1"/>
    </xf>
    <xf numFmtId="164" fontId="25" fillId="0" borderId="1" xfId="0" applyNumberFormat="1" applyFont="1" applyBorder="1" applyAlignment="1">
      <alignment horizontal="left" wrapText="1"/>
    </xf>
    <xf numFmtId="14" fontId="6" fillId="3" borderId="1" xfId="0" applyNumberFormat="1" applyFont="1" applyFill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164" fontId="25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164" fontId="6" fillId="0" borderId="1" xfId="0" applyNumberFormat="1" applyFont="1" applyBorder="1" applyAlignment="1">
      <alignment wrapText="1"/>
    </xf>
    <xf numFmtId="14" fontId="6" fillId="3" borderId="0" xfId="0" applyNumberFormat="1" applyFont="1" applyFill="1"/>
    <xf numFmtId="0" fontId="25" fillId="0" borderId="0" xfId="0" applyFont="1" applyAlignment="1">
      <alignment horizontal="left" wrapText="1"/>
    </xf>
    <xf numFmtId="0" fontId="5" fillId="0" borderId="3" xfId="0" applyFont="1" applyBorder="1"/>
    <xf numFmtId="0" fontId="10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5" fillId="0" borderId="10" xfId="0" applyFont="1" applyBorder="1"/>
    <xf numFmtId="0" fontId="0" fillId="0" borderId="0" xfId="0"/>
    <xf numFmtId="0" fontId="5" fillId="0" borderId="11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11" fillId="0" borderId="6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2" xfId="0" applyFont="1" applyBorder="1"/>
    <xf numFmtId="0" fontId="12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0" fontId="5" fillId="0" borderId="22" xfId="0" applyFont="1" applyBorder="1"/>
    <xf numFmtId="0" fontId="5" fillId="0" borderId="23" xfId="0" applyFont="1" applyBorder="1"/>
    <xf numFmtId="0" fontId="16" fillId="0" borderId="24" xfId="0" applyFont="1" applyBorder="1" applyAlignment="1">
      <alignment horizontal="center" vertical="center"/>
    </xf>
    <xf numFmtId="0" fontId="5" fillId="0" borderId="25" xfId="0" applyFont="1" applyBorder="1"/>
    <xf numFmtId="0" fontId="10" fillId="0" borderId="27" xfId="0" applyFont="1" applyBorder="1"/>
    <xf numFmtId="0" fontId="5" fillId="0" borderId="28" xfId="0" applyFont="1" applyBorder="1"/>
    <xf numFmtId="0" fontId="5" fillId="0" borderId="4" xfId="0" applyFont="1" applyBorder="1"/>
    <xf numFmtId="0" fontId="5" fillId="0" borderId="30" xfId="0" applyFont="1" applyBorder="1"/>
    <xf numFmtId="0" fontId="10" fillId="0" borderId="2" xfId="0" applyFont="1" applyBorder="1" applyAlignment="1">
      <alignment horizontal="left"/>
    </xf>
    <xf numFmtId="0" fontId="5" fillId="0" borderId="32" xfId="0" applyFont="1" applyBorder="1"/>
    <xf numFmtId="0" fontId="10" fillId="0" borderId="2" xfId="0" applyFont="1" applyBorder="1"/>
    <xf numFmtId="0" fontId="5" fillId="0" borderId="33" xfId="0" applyFont="1" applyBorder="1"/>
    <xf numFmtId="0" fontId="17" fillId="4" borderId="34" xfId="0" applyFont="1" applyFill="1" applyBorder="1" applyAlignment="1">
      <alignment horizontal="left"/>
    </xf>
    <xf numFmtId="0" fontId="5" fillId="0" borderId="35" xfId="0" applyFont="1" applyBorder="1"/>
    <xf numFmtId="0" fontId="16" fillId="0" borderId="37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left"/>
    </xf>
    <xf numFmtId="0" fontId="17" fillId="4" borderId="38" xfId="0" applyFont="1" applyFill="1" applyBorder="1" applyAlignment="1">
      <alignment horizontal="left"/>
    </xf>
    <xf numFmtId="0" fontId="5" fillId="0" borderId="39" xfId="0" applyFont="1" applyBorder="1"/>
    <xf numFmtId="0" fontId="21" fillId="0" borderId="40" xfId="0" applyFont="1" applyBorder="1" applyAlignment="1">
      <alignment horizontal="center" vertical="center"/>
    </xf>
    <xf numFmtId="0" fontId="5" fillId="0" borderId="15" xfId="0" applyFont="1" applyBorder="1"/>
    <xf numFmtId="0" fontId="5" fillId="0" borderId="41" xfId="0" applyFont="1" applyBorder="1"/>
    <xf numFmtId="0" fontId="11" fillId="0" borderId="37" xfId="0" applyFont="1" applyBorder="1" applyAlignment="1">
      <alignment horizontal="center"/>
    </xf>
    <xf numFmtId="0" fontId="16" fillId="0" borderId="40" xfId="0" applyFont="1" applyBorder="1" applyAlignment="1">
      <alignment horizontal="left" vertical="center" wrapText="1"/>
    </xf>
    <xf numFmtId="0" fontId="5" fillId="0" borderId="42" xfId="0" applyFont="1" applyBorder="1"/>
    <xf numFmtId="0" fontId="10" fillId="0" borderId="37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10" fillId="0" borderId="10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left" vertical="top"/>
    </xf>
    <xf numFmtId="0" fontId="5" fillId="0" borderId="44" xfId="0" applyFont="1" applyBorder="1"/>
    <xf numFmtId="0" fontId="5" fillId="0" borderId="20" xfId="0" applyFont="1" applyBorder="1"/>
    <xf numFmtId="0" fontId="22" fillId="7" borderId="2" xfId="0" applyFont="1" applyFill="1" applyBorder="1" applyAlignment="1">
      <alignment horizontal="center"/>
    </xf>
    <xf numFmtId="0" fontId="24" fillId="2" borderId="32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80"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2">
    <tableStyle name="LISTADO DE N° LICENCIAS T.ESCOL-style" pivot="0" count="3" xr9:uid="{00000000-0011-0000-FFFF-FFFF00000000}">
      <tableStyleElement type="headerRow" dxfId="79"/>
      <tableStyleElement type="firstRowStripe" dxfId="78"/>
      <tableStyleElement type="secondRowStripe" dxfId="77"/>
    </tableStyle>
    <tableStyle name="LISTADO DE N° LICENCIAS T.ESCOL-style 2" pivot="0" count="2" xr9:uid="{00000000-0011-0000-FFFF-FFFF01000000}">
      <tableStyleElement type="firstRowStripe" dxfId="76"/>
      <tableStyleElement type="secondRowStripe" dxfId="75"/>
    </tableStyle>
    <tableStyle name="LISTADO DE N° LICENCIAS T.ESCOL-style 3" pivot="0" count="2" xr9:uid="{00000000-0011-0000-FFFF-FFFF02000000}">
      <tableStyleElement type="firstRowStripe" dxfId="74"/>
      <tableStyleElement type="secondRowStripe" dxfId="73"/>
    </tableStyle>
    <tableStyle name="LISTADO DE N° LICENCIAS T.ESCOL-style 4" pivot="0" count="2" xr9:uid="{00000000-0011-0000-FFFF-FFFF03000000}">
      <tableStyleElement type="firstRowStripe" dxfId="72"/>
      <tableStyleElement type="secondRowStripe" dxfId="71"/>
    </tableStyle>
    <tableStyle name="LISTADO DE N° LICENCIAS T.ESCOL-style 5" pivot="0" count="2" xr9:uid="{00000000-0011-0000-FFFF-FFFF04000000}">
      <tableStyleElement type="firstRowStripe" dxfId="70"/>
      <tableStyleElement type="secondRowStripe" dxfId="69"/>
    </tableStyle>
    <tableStyle name="LISTADO DE N° LICENCIAS T.ESCOL-style 6" pivot="0" count="2" xr9:uid="{00000000-0011-0000-FFFF-FFFF05000000}">
      <tableStyleElement type="firstRowStripe" dxfId="68"/>
      <tableStyleElement type="secondRowStripe" dxfId="67"/>
    </tableStyle>
    <tableStyle name="LISTADO DE N° LICENCIAS T.ESCOL-style 7" pivot="0" count="2" xr9:uid="{00000000-0011-0000-FFFF-FFFF06000000}">
      <tableStyleElement type="firstRowStripe" dxfId="66"/>
      <tableStyleElement type="secondRowStripe" dxfId="65"/>
    </tableStyle>
    <tableStyle name="LISTADO DE N° LICENCIAS T.ESCOL-style 8" pivot="0" count="2" xr9:uid="{00000000-0011-0000-FFFF-FFFF07000000}">
      <tableStyleElement type="firstRowStripe" dxfId="64"/>
      <tableStyleElement type="secondRowStripe" dxfId="63"/>
    </tableStyle>
    <tableStyle name="LISTADO DE N° LICENCIAS T.ESCOL-style 9" pivot="0" count="2" xr9:uid="{00000000-0011-0000-FFFF-FFFF08000000}">
      <tableStyleElement type="firstRowStripe" dxfId="62"/>
      <tableStyleElement type="secondRowStripe" dxfId="61"/>
    </tableStyle>
    <tableStyle name="LISTADO DE N° LICENCIAS T.ESCOL-style 10" pivot="0" count="2" xr9:uid="{00000000-0011-0000-FFFF-FFFF09000000}">
      <tableStyleElement type="firstRowStripe" dxfId="60"/>
      <tableStyleElement type="secondRowStripe" dxfId="59"/>
    </tableStyle>
    <tableStyle name="LISTADO DE N° LICENCIAS T.ESCOL-style 11" pivot="0" count="2" xr9:uid="{00000000-0011-0000-FFFF-FFFF0A000000}">
      <tableStyleElement type="firstRowStripe" dxfId="58"/>
      <tableStyleElement type="secondRowStripe" dxfId="57"/>
    </tableStyle>
    <tableStyle name="PLANILLA DE INSPECCION - T. ESC-style" pivot="0" count="2" xr9:uid="{00000000-0011-0000-FFFF-FFFF0B000000}">
      <tableStyleElement type="firstRowStripe" dxfId="56"/>
      <tableStyleElement type="secondRowStripe" dxfId="55"/>
    </tableStyle>
    <tableStyle name="PLANILLA DE INSPECCION - T. ESC-style 2" pivot="0" count="2" xr9:uid="{00000000-0011-0000-FFFF-FFFF0C000000}">
      <tableStyleElement type="firstRowStripe" dxfId="54"/>
      <tableStyleElement type="secondRowStripe" dxfId="53"/>
    </tableStyle>
    <tableStyle name="PLANILLA DE INSPECCION - T. ESC-style 3" pivot="0" count="2" xr9:uid="{00000000-0011-0000-FFFF-FFFF0D000000}">
      <tableStyleElement type="firstRowStripe" dxfId="52"/>
      <tableStyleElement type="secondRowStripe" dxfId="51"/>
    </tableStyle>
    <tableStyle name="PLANILLA DE INSPECCION - T. ESC-style 4" pivot="0" count="2" xr9:uid="{00000000-0011-0000-FFFF-FFFF0E000000}">
      <tableStyleElement type="firstRowStripe" dxfId="50"/>
      <tableStyleElement type="secondRowStripe" dxfId="49"/>
    </tableStyle>
    <tableStyle name="HAB. T.E 2024-style" pivot="0" count="2" xr9:uid="{00000000-0011-0000-FFFF-FFFF0F000000}">
      <tableStyleElement type="firstRowStripe" dxfId="48"/>
      <tableStyleElement type="secondRowStripe" dxfId="47"/>
    </tableStyle>
    <tableStyle name="HAB. T.E 2024-style 2" pivot="0" count="2" xr9:uid="{00000000-0011-0000-FFFF-FFFF10000000}">
      <tableStyleElement type="firstRowStripe" dxfId="46"/>
      <tableStyleElement type="secondRowStripe" dxfId="45"/>
    </tableStyle>
    <tableStyle name="HAB. T.E 2024-style 3" pivot="0" count="2" xr9:uid="{00000000-0011-0000-FFFF-FFFF11000000}">
      <tableStyleElement type="firstRowStripe" dxfId="44"/>
      <tableStyleElement type="secondRowStripe" dxfId="43"/>
    </tableStyle>
    <tableStyle name="HAB. T.E 2024-style 4" pivot="0" count="2" xr9:uid="{00000000-0011-0000-FFFF-FFFF12000000}">
      <tableStyleElement type="firstRowStripe" dxfId="42"/>
      <tableStyleElement type="secondRowStripe" dxfId="41"/>
    </tableStyle>
    <tableStyle name="HAB. T.E 2024-style 5" pivot="0" count="2" xr9:uid="{00000000-0011-0000-FFFF-FFFF13000000}">
      <tableStyleElement type="firstRowStripe" dxfId="40"/>
      <tableStyleElement type="secondRowStripe" dxfId="39"/>
    </tableStyle>
    <tableStyle name="HAB. T.E 2024-style 6" pivot="0" count="2" xr9:uid="{00000000-0011-0000-FFFF-FFFF14000000}">
      <tableStyleElement type="firstRowStripe" dxfId="38"/>
      <tableStyleElement type="secondRowStripe" dxfId="37"/>
    </tableStyle>
    <tableStyle name="HAB. T.E 2024-style 7" pivot="0" count="2" xr9:uid="{00000000-0011-0000-FFFF-FFFF15000000}">
      <tableStyleElement type="firstRowStripe" dxfId="36"/>
      <tableStyleElement type="secondRowStripe" dxfId="35"/>
    </tableStyle>
    <tableStyle name="HAB. T.E 2024-style 8" pivot="0" count="2" xr9:uid="{00000000-0011-0000-FFFF-FFFF16000000}">
      <tableStyleElement type="firstRowStripe" dxfId="34"/>
      <tableStyleElement type="secondRowStripe" dxfId="33"/>
    </tableStyle>
    <tableStyle name="HAB. T.E 2024-style 9" pivot="0" count="2" xr9:uid="{00000000-0011-0000-FFFF-FFFF17000000}">
      <tableStyleElement type="firstRowStripe" dxfId="32"/>
      <tableStyleElement type="secondRowStripe" dxfId="31"/>
    </tableStyle>
    <tableStyle name="HAB. T.E 2024-style 10" pivot="0" count="2" xr9:uid="{00000000-0011-0000-FFFF-FFFF18000000}">
      <tableStyleElement type="firstRowStripe" dxfId="30"/>
      <tableStyleElement type="secondRowStripe" dxfId="29"/>
    </tableStyle>
    <tableStyle name="HAB. T.E 2024-style 11" pivot="0" count="2" xr9:uid="{00000000-0011-0000-FFFF-FFFF19000000}">
      <tableStyleElement type="firstRowStripe" dxfId="28"/>
      <tableStyleElement type="secondRowStripe" dxfId="27"/>
    </tableStyle>
    <tableStyle name="HAB. T.E 2024-style 12" pivot="0" count="2" xr9:uid="{00000000-0011-0000-FFFF-FFFF1A000000}">
      <tableStyleElement type="firstRowStripe" dxfId="26"/>
      <tableStyleElement type="secondRowStripe" dxfId="25"/>
    </tableStyle>
    <tableStyle name="HAB. T.E 2024-style 13" pivot="0" count="2" xr9:uid="{00000000-0011-0000-FFFF-FFFF1B000000}">
      <tableStyleElement type="firstRowStripe" dxfId="24"/>
      <tableStyleElement type="secondRowStripe" dxfId="23"/>
    </tableStyle>
    <tableStyle name="HAB. T.E 2024-style 14" pivot="0" count="2" xr9:uid="{00000000-0011-0000-FFFF-FFFF1C000000}">
      <tableStyleElement type="firstRowStripe" dxfId="22"/>
      <tableStyleElement type="secondRowStripe" dxfId="21"/>
    </tableStyle>
    <tableStyle name="HAB. T.E 2024-style 15" pivot="0" count="2" xr9:uid="{00000000-0011-0000-FFFF-FFFF1D000000}">
      <tableStyleElement type="firstRowStripe" dxfId="20"/>
      <tableStyleElement type="secondRowStripe" dxfId="19"/>
    </tableStyle>
    <tableStyle name="HAB. T.E 2024-style 16" pivot="0" count="2" xr9:uid="{00000000-0011-0000-FFFF-FFFF1E000000}">
      <tableStyleElement type="firstRowStripe" dxfId="18"/>
      <tableStyleElement type="secondRowStripe" dxfId="17"/>
    </tableStyle>
    <tableStyle name="HAB. T.E 2023-style" pivot="0" count="2" xr9:uid="{00000000-0011-0000-FFFF-FFFF1F000000}"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0</xdr:row>
      <xdr:rowOff>0</xdr:rowOff>
    </xdr:from>
    <xdr:ext cx="3832860" cy="112776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" y="0"/>
          <a:ext cx="3832860" cy="112776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6:M9" headerRowCount="0">
  <tableColumns count="13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</tableColumns>
  <tableStyleInfo name="HAB. T.E 202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10:M12" headerRowCount="0">
  <tableColumns count="13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</tableColumns>
  <tableStyleInfo name="HAB. T.E 2024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13:M13" headerRowCount="0">
  <tableColumns count="13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</tableColumns>
  <tableStyleInfo name="HAB. T.E 2024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14:M14" headerRowCount="0">
  <tableColumns count="13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</tableColumns>
  <tableStyleInfo name="HAB. T.E 2024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15:M15" headerRowCount="0">
  <tableColumns count="13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</tableColumns>
  <tableStyleInfo name="HAB. T.E 2024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16:M16" headerRowCount="0">
  <tableColumns count="13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</tableColumns>
  <tableStyleInfo name="HAB. T.E 2024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17:M17" headerRowCount="0">
  <tableColumns count="13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</tableColumns>
  <tableStyleInfo name="HAB. T.E 2024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37:M37" headerRowCount="0">
  <tableColumns count="13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</tableColumns>
  <tableStyleInfo name="HAB. T.E 2024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A38:M38" headerRowCount="0">
  <tableColumns count="13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</tableColumns>
  <tableStyleInfo name="HAB. T.E 2024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40:M40" headerRowCount="0">
  <tableColumns count="13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</tableColumns>
  <tableStyleInfo name="HAB. T.E 2024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41:M41" headerRowCount="0">
  <tableColumns count="13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</tableColumns>
  <tableStyleInfo name="HAB. T.E 2024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42:M42" headerRowCount="0">
  <tableColumns count="13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</tableColumns>
  <tableStyleInfo name="HAB. T.E 2024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43:M43" headerRowCount="0">
  <tableColumns count="13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</tableColumns>
  <tableStyleInfo name="HAB. T.E 2024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A44:M45" headerRowCount="0">
  <tableColumns count="13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</tableColumns>
  <tableStyleInfo name="HAB. T.E 2024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A46:M46" headerRowCount="0">
  <tableColumns count="13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</tableColumns>
  <tableStyleInfo name="HAB. T.E 2024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A48:M48" headerRowCount="0">
  <tableColumns count="13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</tableColumns>
  <tableStyleInfo name="HAB. T.E 2024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A4:M36" headerRowCount="0">
  <tableColumns count="13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</tableColumns>
  <tableStyleInfo name="HAB. T.E 202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r.de/" TargetMode="External"/><Relationship Id="rId1" Type="http://schemas.openxmlformats.org/officeDocument/2006/relationships/hyperlink" Target="http://pato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  <pageSetUpPr fitToPage="1"/>
  </sheetPr>
  <dimension ref="A1:AV1000"/>
  <sheetViews>
    <sheetView tabSelected="1" workbookViewId="0">
      <selection activeCell="C16" sqref="C16:E16"/>
    </sheetView>
  </sheetViews>
  <sheetFormatPr defaultColWidth="14.44140625" defaultRowHeight="15.75" customHeight="1"/>
  <cols>
    <col min="1" max="1" width="4.109375" customWidth="1"/>
    <col min="2" max="2" width="18.33203125" customWidth="1"/>
    <col min="3" max="3" width="23" customWidth="1"/>
    <col min="4" max="4" width="2.6640625" customWidth="1"/>
    <col min="5" max="5" width="8.5546875" customWidth="1"/>
    <col min="6" max="6" width="13.109375" customWidth="1"/>
    <col min="7" max="7" width="19.109375" customWidth="1"/>
    <col min="8" max="8" width="12.6640625" customWidth="1"/>
    <col min="9" max="9" width="14.33203125" customWidth="1"/>
    <col min="10" max="10" width="3.109375" customWidth="1"/>
    <col min="13" max="13" width="28.33203125" customWidth="1"/>
  </cols>
  <sheetData>
    <row r="1" spans="1:13" ht="15.75" customHeight="1">
      <c r="A1" s="1" t="s">
        <v>1228</v>
      </c>
      <c r="B1" s="110"/>
      <c r="C1" s="111"/>
      <c r="D1" s="111"/>
      <c r="E1" s="112"/>
      <c r="F1" s="119" t="s">
        <v>1229</v>
      </c>
      <c r="G1" s="111"/>
      <c r="H1" s="119" t="s">
        <v>1230</v>
      </c>
      <c r="I1" s="120"/>
      <c r="L1" s="25" t="s">
        <v>1231</v>
      </c>
      <c r="M1" s="8"/>
    </row>
    <row r="2" spans="1:13" ht="15.75" customHeight="1">
      <c r="B2" s="113"/>
      <c r="C2" s="114"/>
      <c r="D2" s="114"/>
      <c r="E2" s="115"/>
      <c r="F2" s="114"/>
      <c r="G2" s="114"/>
      <c r="H2" s="114"/>
      <c r="I2" s="121"/>
    </row>
    <row r="3" spans="1:13" ht="15.75" customHeight="1">
      <c r="B3" s="113"/>
      <c r="C3" s="114"/>
      <c r="D3" s="114"/>
      <c r="E3" s="115"/>
      <c r="F3" s="114"/>
      <c r="G3" s="114"/>
      <c r="H3" s="114"/>
      <c r="I3" s="121"/>
    </row>
    <row r="4" spans="1:13" ht="24.75" customHeight="1">
      <c r="B4" s="113"/>
      <c r="C4" s="114"/>
      <c r="D4" s="114"/>
      <c r="E4" s="115"/>
      <c r="F4" s="122" t="s">
        <v>1232</v>
      </c>
      <c r="G4" s="123"/>
      <c r="H4" s="26" t="s">
        <v>1233</v>
      </c>
      <c r="I4" s="27"/>
    </row>
    <row r="5" spans="1:13" ht="25.5" customHeight="1">
      <c r="B5" s="116"/>
      <c r="C5" s="117"/>
      <c r="D5" s="117"/>
      <c r="E5" s="118"/>
      <c r="F5" s="117"/>
      <c r="G5" s="117"/>
      <c r="H5" s="28" t="s">
        <v>1234</v>
      </c>
      <c r="I5" s="29"/>
    </row>
    <row r="6" spans="1:13" ht="8.25" customHeight="1">
      <c r="A6" s="30"/>
      <c r="B6" s="31"/>
      <c r="C6" s="32"/>
      <c r="H6" s="31"/>
      <c r="I6" s="33"/>
      <c r="J6" s="30"/>
    </row>
    <row r="7" spans="1:13" ht="3" customHeight="1">
      <c r="A7" s="30"/>
      <c r="B7" s="124" t="s">
        <v>1235</v>
      </c>
      <c r="C7" s="125" t="s">
        <v>1236</v>
      </c>
      <c r="G7" s="125"/>
      <c r="H7" s="114"/>
      <c r="I7" s="114"/>
      <c r="J7" s="30"/>
    </row>
    <row r="8" spans="1:13" ht="16.5" customHeight="1">
      <c r="A8" s="30"/>
      <c r="B8" s="114"/>
      <c r="C8" s="114"/>
      <c r="F8" s="1" t="s">
        <v>1237</v>
      </c>
      <c r="G8" s="114"/>
      <c r="H8" s="114"/>
      <c r="I8" s="114"/>
      <c r="J8" s="30"/>
    </row>
    <row r="9" spans="1:13" ht="16.5" customHeight="1">
      <c r="A9" s="30"/>
      <c r="B9" s="126" t="s">
        <v>1238</v>
      </c>
      <c r="C9" s="127"/>
      <c r="D9" s="127"/>
      <c r="E9" s="128"/>
      <c r="F9" s="129" t="s">
        <v>1239</v>
      </c>
      <c r="G9" s="127"/>
      <c r="H9" s="127"/>
      <c r="I9" s="130"/>
      <c r="J9" s="30"/>
      <c r="L9" s="34"/>
    </row>
    <row r="10" spans="1:13" ht="15.75" customHeight="1">
      <c r="A10" s="34"/>
      <c r="B10" s="35" t="s">
        <v>1240</v>
      </c>
      <c r="C10" s="131"/>
      <c r="D10" s="132"/>
      <c r="E10" s="133"/>
      <c r="F10" s="36" t="s">
        <v>1241</v>
      </c>
      <c r="G10" s="131"/>
      <c r="H10" s="132"/>
      <c r="I10" s="134"/>
      <c r="J10" s="34"/>
    </row>
    <row r="11" spans="1:13" ht="15.75" customHeight="1">
      <c r="A11" s="34"/>
      <c r="B11" s="37" t="s">
        <v>1242</v>
      </c>
      <c r="C11" s="135"/>
      <c r="D11" s="136"/>
      <c r="E11" s="109"/>
      <c r="F11" s="38" t="s">
        <v>1243</v>
      </c>
      <c r="G11" s="137"/>
      <c r="H11" s="136"/>
      <c r="I11" s="138"/>
      <c r="J11" s="34"/>
    </row>
    <row r="12" spans="1:13" ht="15.75" customHeight="1">
      <c r="A12" s="34"/>
      <c r="B12" s="37" t="s">
        <v>1244</v>
      </c>
      <c r="C12" s="139"/>
      <c r="D12" s="140"/>
      <c r="E12" s="140"/>
      <c r="F12" s="38" t="s">
        <v>1245</v>
      </c>
      <c r="G12" s="39"/>
      <c r="H12" s="40"/>
      <c r="I12" s="41"/>
      <c r="J12" s="42"/>
      <c r="K12" s="43"/>
    </row>
    <row r="13" spans="1:13" ht="15.75" customHeight="1">
      <c r="A13" s="34"/>
      <c r="B13" s="141" t="s">
        <v>1246</v>
      </c>
      <c r="C13" s="136"/>
      <c r="D13" s="136"/>
      <c r="E13" s="109"/>
      <c r="F13" s="38" t="s">
        <v>1247</v>
      </c>
      <c r="G13" s="135"/>
      <c r="H13" s="136"/>
      <c r="I13" s="138"/>
      <c r="J13" s="34"/>
    </row>
    <row r="14" spans="1:13" ht="15.75" customHeight="1">
      <c r="A14" s="34"/>
      <c r="B14" s="37" t="s">
        <v>1240</v>
      </c>
      <c r="C14" s="131"/>
      <c r="D14" s="132"/>
      <c r="E14" s="133"/>
      <c r="F14" s="44" t="s">
        <v>1248</v>
      </c>
      <c r="G14" s="142"/>
      <c r="H14" s="136"/>
      <c r="I14" s="138"/>
      <c r="J14" s="34"/>
    </row>
    <row r="15" spans="1:13" ht="15.75" customHeight="1">
      <c r="A15" s="34"/>
      <c r="B15" s="37" t="s">
        <v>1242</v>
      </c>
      <c r="C15" s="135"/>
      <c r="D15" s="136"/>
      <c r="E15" s="109"/>
      <c r="F15" s="38" t="s">
        <v>6</v>
      </c>
      <c r="G15" s="137"/>
      <c r="H15" s="136"/>
      <c r="I15" s="138"/>
      <c r="J15" s="34"/>
    </row>
    <row r="16" spans="1:13" ht="15.75" customHeight="1">
      <c r="B16" s="37" t="s">
        <v>1244</v>
      </c>
      <c r="C16" s="143"/>
      <c r="D16" s="144"/>
      <c r="E16" s="144"/>
      <c r="F16" s="38" t="s">
        <v>1249</v>
      </c>
      <c r="G16" s="137"/>
      <c r="H16" s="136"/>
      <c r="I16" s="138"/>
    </row>
    <row r="17" spans="1:48" ht="9.75" customHeight="1">
      <c r="B17" s="45"/>
      <c r="C17" s="46"/>
      <c r="D17" s="46"/>
      <c r="E17" s="46"/>
      <c r="F17" s="46"/>
      <c r="G17" s="46"/>
      <c r="H17" s="46"/>
      <c r="I17" s="47"/>
    </row>
    <row r="18" spans="1:48" ht="4.5" customHeight="1">
      <c r="A18" s="48"/>
      <c r="B18" s="145" t="s">
        <v>1250</v>
      </c>
      <c r="C18" s="123"/>
      <c r="D18" s="123"/>
      <c r="E18" s="123"/>
      <c r="F18" s="123"/>
      <c r="G18" s="123"/>
      <c r="H18" s="123"/>
      <c r="I18" s="146"/>
      <c r="J18" s="48"/>
    </row>
    <row r="19" spans="1:48" ht="18" customHeight="1">
      <c r="A19" s="48"/>
      <c r="B19" s="147"/>
      <c r="C19" s="132"/>
      <c r="D19" s="132"/>
      <c r="E19" s="132"/>
      <c r="F19" s="132"/>
      <c r="G19" s="132"/>
      <c r="H19" s="132"/>
      <c r="I19" s="134"/>
      <c r="J19" s="48"/>
    </row>
    <row r="20" spans="1:48" ht="15.75" customHeight="1">
      <c r="B20" s="148" t="s">
        <v>1251</v>
      </c>
      <c r="C20" s="136"/>
      <c r="D20" s="136"/>
      <c r="E20" s="136"/>
      <c r="F20" s="49" t="s">
        <v>1252</v>
      </c>
      <c r="G20" s="49" t="s">
        <v>1253</v>
      </c>
      <c r="H20" s="49" t="s">
        <v>1254</v>
      </c>
      <c r="I20" s="50" t="s">
        <v>1255</v>
      </c>
    </row>
    <row r="21" spans="1:48" ht="35.25" customHeight="1">
      <c r="A21" s="46"/>
      <c r="B21" s="149" t="s">
        <v>1256</v>
      </c>
      <c r="C21" s="123"/>
      <c r="D21" s="123"/>
      <c r="E21" s="150"/>
      <c r="F21" s="51"/>
      <c r="G21" s="51"/>
      <c r="H21" s="51"/>
      <c r="I21" s="39"/>
      <c r="J21" s="46"/>
    </row>
    <row r="22" spans="1:48" ht="32.25" customHeight="1">
      <c r="A22" s="46"/>
      <c r="B22" s="151" t="s">
        <v>1257</v>
      </c>
      <c r="C22" s="136"/>
      <c r="D22" s="136"/>
      <c r="E22" s="109"/>
      <c r="F22" s="52"/>
      <c r="G22" s="52"/>
      <c r="H22" s="52"/>
      <c r="I22" s="39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</row>
    <row r="23" spans="1:48" ht="41.25" customHeight="1">
      <c r="B23" s="152" t="s">
        <v>1258</v>
      </c>
      <c r="C23" s="123"/>
      <c r="D23" s="123"/>
      <c r="E23" s="150"/>
      <c r="F23" s="51"/>
      <c r="G23" s="51"/>
      <c r="H23" s="51"/>
      <c r="I23" s="39"/>
    </row>
    <row r="24" spans="1:48" ht="35.25" customHeight="1">
      <c r="A24" s="46"/>
      <c r="B24" s="151" t="s">
        <v>1259</v>
      </c>
      <c r="C24" s="136"/>
      <c r="D24" s="136"/>
      <c r="E24" s="109"/>
      <c r="F24" s="51"/>
      <c r="G24" s="51"/>
      <c r="H24" s="51"/>
      <c r="I24" s="39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</row>
    <row r="25" spans="1:48" ht="45" customHeight="1">
      <c r="B25" s="151" t="s">
        <v>1260</v>
      </c>
      <c r="C25" s="136"/>
      <c r="D25" s="136"/>
      <c r="E25" s="109"/>
      <c r="F25" s="53"/>
      <c r="G25" s="53"/>
      <c r="H25" s="51"/>
      <c r="I25" s="39"/>
    </row>
    <row r="26" spans="1:48" ht="33.75" customHeight="1">
      <c r="B26" s="155" t="s">
        <v>1261</v>
      </c>
      <c r="C26" s="114"/>
      <c r="D26" s="114"/>
      <c r="E26" s="115"/>
      <c r="F26" s="51"/>
      <c r="G26" s="51"/>
      <c r="H26" s="51"/>
      <c r="I26" s="39"/>
    </row>
    <row r="27" spans="1:48" ht="33.75" customHeight="1">
      <c r="A27" s="46"/>
      <c r="B27" s="151" t="s">
        <v>1262</v>
      </c>
      <c r="C27" s="136"/>
      <c r="D27" s="136"/>
      <c r="E27" s="109"/>
      <c r="F27" s="51"/>
      <c r="G27" s="51"/>
      <c r="H27" s="51"/>
      <c r="I27" s="54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</row>
    <row r="28" spans="1:48" ht="29.25" customHeight="1">
      <c r="A28" s="46"/>
      <c r="B28" s="151" t="s">
        <v>1263</v>
      </c>
      <c r="C28" s="136"/>
      <c r="D28" s="136"/>
      <c r="E28" s="109"/>
      <c r="F28" s="52"/>
      <c r="G28" s="52"/>
      <c r="H28" s="52"/>
      <c r="I28" s="54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</row>
    <row r="29" spans="1:48" ht="32.25" customHeight="1">
      <c r="A29" s="46"/>
      <c r="B29" s="151" t="s">
        <v>1264</v>
      </c>
      <c r="C29" s="136"/>
      <c r="D29" s="136"/>
      <c r="E29" s="109"/>
      <c r="F29" s="51"/>
      <c r="G29" s="51"/>
      <c r="H29" s="51"/>
      <c r="I29" s="54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</row>
    <row r="30" spans="1:48" ht="33.75" customHeight="1">
      <c r="A30" s="46"/>
      <c r="B30" s="151" t="s">
        <v>1265</v>
      </c>
      <c r="C30" s="136"/>
      <c r="D30" s="136"/>
      <c r="E30" s="109"/>
      <c r="F30" s="52"/>
      <c r="G30" s="52"/>
      <c r="H30" s="52"/>
      <c r="I30" s="54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</row>
    <row r="31" spans="1:48" ht="42.75" customHeight="1">
      <c r="A31" s="46"/>
      <c r="B31" s="153" t="s">
        <v>1266</v>
      </c>
      <c r="C31" s="136"/>
      <c r="D31" s="136"/>
      <c r="E31" s="136"/>
      <c r="F31" s="55"/>
      <c r="G31" s="55"/>
      <c r="H31" s="55"/>
      <c r="I31" s="5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</row>
    <row r="32" spans="1:48" ht="26.25" customHeight="1">
      <c r="A32" s="32"/>
      <c r="B32" s="156" t="s">
        <v>1267</v>
      </c>
      <c r="C32" s="157"/>
      <c r="D32" s="157"/>
      <c r="E32" s="157"/>
      <c r="F32" s="157"/>
      <c r="G32" s="157"/>
      <c r="H32" s="157"/>
      <c r="I32" s="158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spans="2:12" ht="24.75" customHeight="1"/>
    <row r="34" spans="2:12" ht="2.25" customHeight="1">
      <c r="B34" s="154" t="s">
        <v>1268</v>
      </c>
      <c r="C34" s="114"/>
      <c r="D34" s="114"/>
      <c r="G34" s="154" t="s">
        <v>1269</v>
      </c>
      <c r="H34" s="114"/>
      <c r="I34" s="114"/>
    </row>
    <row r="35" spans="2:12" ht="11.25" customHeight="1">
      <c r="B35" s="114"/>
      <c r="C35" s="114"/>
      <c r="D35" s="114"/>
      <c r="G35" s="114"/>
      <c r="H35" s="114"/>
      <c r="I35" s="114"/>
    </row>
    <row r="36" spans="2:12" ht="15.75" customHeight="1">
      <c r="B36" s="114"/>
      <c r="C36" s="114"/>
      <c r="D36" s="114"/>
      <c r="G36" s="114"/>
      <c r="H36" s="114"/>
      <c r="I36" s="114"/>
    </row>
    <row r="45" spans="2:12" ht="15.75" customHeight="1">
      <c r="L45" s="46"/>
    </row>
    <row r="235" ht="13.8"/>
    <row r="236" ht="13.8"/>
    <row r="237" ht="13.8"/>
    <row r="238" ht="13.8"/>
    <row r="239" ht="13.8"/>
    <row r="240" ht="13.8"/>
    <row r="241" ht="13.8"/>
    <row r="242" ht="13.8"/>
    <row r="243" ht="13.8"/>
    <row r="244" ht="13.8"/>
    <row r="245" ht="13.8"/>
    <row r="246" ht="13.8"/>
    <row r="247" ht="13.8"/>
    <row r="248" ht="13.8"/>
    <row r="249" ht="13.8"/>
    <row r="250" ht="13.8"/>
    <row r="251" ht="13.8"/>
    <row r="252" ht="13.8"/>
    <row r="253" ht="13.8"/>
    <row r="254" ht="13.8"/>
    <row r="255" ht="13.8"/>
    <row r="256" ht="13.8"/>
    <row r="257" ht="13.8"/>
    <row r="258" ht="13.8"/>
    <row r="259" ht="13.8"/>
    <row r="260" ht="13.8"/>
    <row r="261" ht="13.8"/>
    <row r="262" ht="13.8"/>
    <row r="263" ht="13.8"/>
    <row r="264" ht="13.8"/>
    <row r="265" ht="13.8"/>
    <row r="266" ht="13.8"/>
    <row r="267" ht="13.8"/>
    <row r="268" ht="13.8"/>
    <row r="269" ht="13.8"/>
    <row r="270" ht="13.8"/>
    <row r="271" ht="13.8"/>
    <row r="272" ht="13.8"/>
    <row r="273" ht="13.8"/>
    <row r="274" ht="13.8"/>
    <row r="275" ht="13.8"/>
    <row r="276" ht="13.8"/>
    <row r="277" ht="13.8"/>
    <row r="278" ht="13.8"/>
    <row r="279" ht="13.8"/>
    <row r="280" ht="13.8"/>
    <row r="281" ht="13.8"/>
    <row r="282" ht="13.8"/>
    <row r="283" ht="13.8"/>
    <row r="284" ht="13.8"/>
    <row r="285" ht="13.8"/>
    <row r="286" ht="13.8"/>
    <row r="287" ht="13.8"/>
    <row r="288" ht="13.8"/>
    <row r="289" ht="13.8"/>
    <row r="290" ht="13.8"/>
    <row r="291" ht="13.8"/>
    <row r="292" ht="13.8"/>
    <row r="293" ht="13.8"/>
    <row r="294" ht="13.8"/>
    <row r="295" ht="13.8"/>
    <row r="296" ht="13.8"/>
    <row r="297" ht="13.8"/>
    <row r="298" ht="13.8"/>
    <row r="299" ht="13.8"/>
    <row r="300" ht="13.8"/>
    <row r="301" ht="13.8"/>
    <row r="302" ht="13.8"/>
    <row r="303" ht="13.8"/>
    <row r="304" ht="13.8"/>
    <row r="305" ht="13.8"/>
    <row r="306" ht="13.8"/>
    <row r="307" ht="13.8"/>
    <row r="308" ht="13.8"/>
    <row r="309" ht="13.8"/>
    <row r="310" ht="13.8"/>
    <row r="311" ht="13.8"/>
    <row r="312" ht="13.8"/>
    <row r="313" ht="13.8"/>
    <row r="314" ht="13.8"/>
    <row r="315" ht="13.8"/>
    <row r="316" ht="13.8"/>
    <row r="317" ht="13.8"/>
    <row r="318" ht="13.8"/>
    <row r="319" ht="13.8"/>
    <row r="320" ht="13.8"/>
    <row r="321" ht="13.8"/>
    <row r="322" ht="13.8"/>
    <row r="323" ht="13.8"/>
    <row r="324" ht="13.8"/>
    <row r="325" ht="13.8"/>
    <row r="326" ht="13.8"/>
    <row r="327" ht="13.8"/>
    <row r="328" ht="13.8"/>
    <row r="329" ht="13.8"/>
    <row r="330" ht="13.8"/>
    <row r="331" ht="13.8"/>
    <row r="332" ht="13.8"/>
    <row r="333" ht="13.8"/>
    <row r="334" ht="13.8"/>
    <row r="335" ht="13.8"/>
    <row r="336" ht="13.8"/>
    <row r="337" ht="13.8"/>
    <row r="338" ht="13.8"/>
    <row r="339" ht="13.8"/>
    <row r="340" ht="13.8"/>
    <row r="341" ht="13.8"/>
    <row r="342" ht="13.8"/>
    <row r="343" ht="13.8"/>
    <row r="344" ht="13.8"/>
    <row r="345" ht="13.8"/>
    <row r="346" ht="13.8"/>
    <row r="347" ht="13.8"/>
    <row r="348" ht="13.8"/>
    <row r="349" ht="13.8"/>
    <row r="350" ht="13.8"/>
    <row r="351" ht="13.8"/>
    <row r="352" ht="13.8"/>
    <row r="353" ht="13.8"/>
    <row r="354" ht="13.8"/>
    <row r="355" ht="13.8"/>
    <row r="356" ht="13.8"/>
    <row r="357" ht="13.8"/>
    <row r="358" ht="13.8"/>
    <row r="359" ht="13.8"/>
    <row r="360" ht="13.8"/>
    <row r="361" ht="13.8"/>
    <row r="362" ht="13.8"/>
    <row r="363" ht="13.8"/>
    <row r="364" ht="13.8"/>
    <row r="365" ht="13.8"/>
    <row r="366" ht="13.8"/>
    <row r="367" ht="13.8"/>
    <row r="368" ht="13.8"/>
    <row r="369" ht="13.8"/>
    <row r="370" ht="13.8"/>
    <row r="371" ht="13.8"/>
    <row r="372" ht="13.8"/>
    <row r="373" ht="13.8"/>
    <row r="374" ht="13.8"/>
    <row r="375" ht="13.8"/>
    <row r="376" ht="13.8"/>
    <row r="377" ht="13.8"/>
    <row r="378" ht="13.8"/>
    <row r="379" ht="13.8"/>
    <row r="380" ht="13.8"/>
    <row r="381" ht="13.8"/>
    <row r="382" ht="13.8"/>
    <row r="383" ht="13.8"/>
    <row r="384" ht="13.8"/>
    <row r="385" ht="13.8"/>
    <row r="386" ht="13.8"/>
    <row r="387" ht="13.8"/>
    <row r="388" ht="13.8"/>
    <row r="389" ht="13.8"/>
    <row r="390" ht="13.8"/>
    <row r="391" ht="13.8"/>
    <row r="392" ht="13.8"/>
    <row r="393" ht="13.8"/>
    <row r="394" ht="13.8"/>
    <row r="395" ht="13.8"/>
    <row r="396" ht="13.8"/>
    <row r="397" ht="13.8"/>
    <row r="398" ht="13.8"/>
    <row r="399" ht="13.8"/>
    <row r="400" ht="13.8"/>
    <row r="401" ht="13.8"/>
    <row r="402" ht="13.8"/>
    <row r="403" ht="13.8"/>
    <row r="404" ht="13.8"/>
    <row r="405" ht="13.8"/>
    <row r="406" ht="13.8"/>
    <row r="407" ht="13.8"/>
    <row r="408" ht="13.8"/>
    <row r="409" ht="13.8"/>
    <row r="410" ht="13.8"/>
    <row r="411" ht="13.8"/>
    <row r="412" ht="13.8"/>
    <row r="413" ht="13.8"/>
    <row r="414" ht="13.8"/>
    <row r="415" ht="13.8"/>
    <row r="416" ht="13.8"/>
    <row r="417" ht="13.8"/>
    <row r="418" ht="13.8"/>
    <row r="419" ht="13.8"/>
    <row r="420" ht="13.8"/>
    <row r="421" ht="13.8"/>
    <row r="422" ht="13.8"/>
    <row r="423" ht="13.8"/>
    <row r="424" ht="13.8"/>
    <row r="425" ht="13.8"/>
    <row r="426" ht="13.8"/>
    <row r="427" ht="13.8"/>
    <row r="428" ht="13.8"/>
    <row r="429" ht="13.8"/>
    <row r="430" ht="13.8"/>
    <row r="431" ht="13.8"/>
    <row r="432" ht="13.8"/>
    <row r="433" ht="13.8"/>
    <row r="434" ht="13.8"/>
    <row r="435" ht="13.8"/>
    <row r="436" ht="13.8"/>
    <row r="437" ht="13.8"/>
    <row r="438" ht="13.8"/>
    <row r="439" ht="13.8"/>
    <row r="440" ht="13.8"/>
    <row r="441" ht="13.8"/>
    <row r="442" ht="13.8"/>
    <row r="443" ht="13.8"/>
    <row r="444" ht="13.8"/>
    <row r="445" ht="13.8"/>
    <row r="446" ht="13.8"/>
    <row r="447" ht="13.8"/>
    <row r="448" ht="13.8"/>
    <row r="449" ht="13.8"/>
    <row r="450" ht="13.8"/>
    <row r="451" ht="13.8"/>
    <row r="452" ht="13.8"/>
    <row r="453" ht="13.8"/>
    <row r="454" ht="13.8"/>
    <row r="455" ht="13.8"/>
    <row r="456" ht="13.8"/>
    <row r="457" ht="13.8"/>
    <row r="458" ht="13.8"/>
    <row r="459" ht="13.8"/>
    <row r="460" ht="13.8"/>
    <row r="461" ht="13.8"/>
    <row r="462" ht="13.8"/>
    <row r="463" ht="13.8"/>
    <row r="464" ht="13.8"/>
    <row r="465" ht="13.8"/>
    <row r="466" ht="13.8"/>
    <row r="467" ht="13.8"/>
    <row r="468" ht="13.8"/>
    <row r="469" ht="13.8"/>
    <row r="470" ht="13.8"/>
    <row r="471" ht="13.8"/>
    <row r="472" ht="13.8"/>
    <row r="473" ht="13.8"/>
    <row r="474" ht="13.8"/>
    <row r="475" ht="13.8"/>
    <row r="476" ht="13.8"/>
    <row r="477" ht="13.8"/>
    <row r="478" ht="13.8"/>
    <row r="479" ht="13.8"/>
    <row r="480" ht="13.8"/>
    <row r="481" ht="13.8"/>
    <row r="482" ht="13.8"/>
    <row r="483" ht="13.8"/>
    <row r="484" ht="13.8"/>
    <row r="485" ht="13.8"/>
    <row r="486" ht="13.8"/>
    <row r="487" ht="13.8"/>
    <row r="488" ht="13.8"/>
    <row r="489" ht="13.8"/>
    <row r="490" ht="13.8"/>
    <row r="491" ht="13.8"/>
    <row r="492" ht="13.8"/>
    <row r="493" ht="13.8"/>
    <row r="494" ht="13.8"/>
    <row r="495" ht="13.8"/>
    <row r="496" ht="13.8"/>
    <row r="497" ht="13.8"/>
    <row r="498" ht="13.8"/>
    <row r="499" ht="13.8"/>
    <row r="500" ht="13.8"/>
    <row r="501" ht="13.8"/>
    <row r="502" ht="13.8"/>
    <row r="503" ht="13.8"/>
    <row r="504" ht="13.8"/>
    <row r="505" ht="13.8"/>
    <row r="506" ht="13.8"/>
    <row r="507" ht="13.8"/>
    <row r="508" ht="13.8"/>
    <row r="509" ht="13.8"/>
    <row r="510" ht="13.8"/>
    <row r="511" ht="13.8"/>
    <row r="512" ht="13.8"/>
    <row r="513" ht="13.8"/>
    <row r="514" ht="13.8"/>
    <row r="515" ht="13.8"/>
    <row r="516" ht="13.8"/>
    <row r="517" ht="13.8"/>
    <row r="518" ht="13.8"/>
    <row r="519" ht="13.8"/>
    <row r="520" ht="13.8"/>
    <row r="521" ht="13.8"/>
    <row r="522" ht="13.8"/>
    <row r="523" ht="13.8"/>
    <row r="524" ht="13.8"/>
    <row r="525" ht="13.8"/>
    <row r="526" ht="13.8"/>
    <row r="527" ht="13.8"/>
    <row r="528" ht="13.8"/>
    <row r="529" ht="13.8"/>
    <row r="530" ht="13.8"/>
    <row r="531" ht="13.8"/>
    <row r="532" ht="13.8"/>
    <row r="533" ht="13.8"/>
    <row r="534" ht="13.8"/>
    <row r="535" ht="13.8"/>
    <row r="536" ht="13.8"/>
    <row r="537" ht="13.8"/>
    <row r="538" ht="13.8"/>
    <row r="539" ht="13.8"/>
    <row r="540" ht="13.8"/>
    <row r="541" ht="13.8"/>
    <row r="542" ht="13.8"/>
    <row r="543" ht="13.8"/>
    <row r="544" ht="13.8"/>
    <row r="545" ht="13.8"/>
    <row r="546" ht="13.8"/>
    <row r="547" ht="13.8"/>
    <row r="548" ht="13.8"/>
    <row r="549" ht="13.8"/>
    <row r="550" ht="13.8"/>
    <row r="551" ht="13.8"/>
    <row r="552" ht="13.8"/>
    <row r="553" ht="13.8"/>
    <row r="554" ht="13.8"/>
    <row r="555" ht="13.8"/>
    <row r="556" ht="13.8"/>
    <row r="557" ht="13.8"/>
    <row r="558" ht="13.8"/>
    <row r="559" ht="13.8"/>
    <row r="560" ht="13.8"/>
    <row r="561" ht="13.8"/>
    <row r="562" ht="13.8"/>
    <row r="563" ht="13.8"/>
    <row r="564" ht="13.8"/>
    <row r="565" ht="13.8"/>
    <row r="566" ht="13.8"/>
    <row r="567" ht="13.8"/>
    <row r="568" ht="13.8"/>
    <row r="569" ht="13.8"/>
    <row r="570" ht="13.8"/>
    <row r="571" ht="13.8"/>
    <row r="572" ht="13.8"/>
    <row r="573" ht="13.8"/>
    <row r="574" ht="13.8"/>
    <row r="575" ht="13.8"/>
    <row r="576" ht="13.8"/>
    <row r="577" ht="13.8"/>
    <row r="578" ht="13.8"/>
    <row r="579" ht="13.8"/>
    <row r="580" ht="13.8"/>
    <row r="581" ht="13.8"/>
    <row r="582" ht="13.8"/>
    <row r="583" ht="13.8"/>
    <row r="584" ht="13.8"/>
    <row r="585" ht="13.8"/>
    <row r="586" ht="13.8"/>
    <row r="587" ht="13.8"/>
    <row r="588" ht="13.8"/>
    <row r="589" ht="13.8"/>
    <row r="590" ht="13.8"/>
    <row r="591" ht="13.8"/>
    <row r="592" ht="13.8"/>
    <row r="593" ht="13.8"/>
    <row r="594" ht="13.8"/>
    <row r="595" ht="13.8"/>
    <row r="596" ht="13.8"/>
    <row r="597" ht="13.8"/>
    <row r="598" ht="13.8"/>
    <row r="599" ht="13.8"/>
    <row r="600" ht="13.8"/>
    <row r="601" ht="13.8"/>
    <row r="602" ht="13.8"/>
    <row r="603" ht="13.8"/>
    <row r="604" ht="13.8"/>
    <row r="605" ht="13.8"/>
    <row r="606" ht="13.8"/>
    <row r="607" ht="13.8"/>
    <row r="608" ht="13.8"/>
    <row r="609" ht="13.8"/>
    <row r="610" ht="13.8"/>
    <row r="611" ht="13.8"/>
    <row r="612" ht="13.8"/>
    <row r="613" ht="13.8"/>
    <row r="614" ht="13.8"/>
    <row r="615" ht="13.8"/>
    <row r="616" ht="13.8"/>
    <row r="617" ht="13.8"/>
    <row r="618" ht="13.8"/>
    <row r="619" ht="13.8"/>
    <row r="620" ht="13.8"/>
    <row r="621" ht="13.8"/>
    <row r="622" ht="13.8"/>
    <row r="623" ht="13.8"/>
    <row r="624" ht="13.8"/>
    <row r="625" ht="13.8"/>
    <row r="626" ht="13.8"/>
    <row r="627" ht="13.8"/>
    <row r="628" ht="13.8"/>
    <row r="629" ht="13.8"/>
    <row r="630" ht="13.8"/>
    <row r="631" ht="13.8"/>
    <row r="632" ht="13.8"/>
    <row r="633" ht="13.8"/>
    <row r="634" ht="13.8"/>
    <row r="635" ht="13.8"/>
    <row r="636" ht="13.8"/>
    <row r="637" ht="13.8"/>
    <row r="638" ht="13.8"/>
    <row r="639" ht="13.8"/>
    <row r="640" ht="13.8"/>
    <row r="641" ht="13.8"/>
    <row r="642" ht="13.8"/>
    <row r="643" ht="13.8"/>
    <row r="644" ht="13.8"/>
    <row r="645" ht="13.8"/>
    <row r="646" ht="13.8"/>
    <row r="647" ht="13.8"/>
    <row r="648" ht="13.8"/>
    <row r="649" ht="13.8"/>
    <row r="650" ht="13.8"/>
    <row r="651" ht="13.8"/>
    <row r="652" ht="13.8"/>
    <row r="653" ht="13.8"/>
    <row r="654" ht="13.8"/>
    <row r="655" ht="13.8"/>
    <row r="656" ht="13.8"/>
    <row r="657" ht="13.8"/>
    <row r="658" ht="13.8"/>
    <row r="659" ht="13.8"/>
    <row r="660" ht="13.8"/>
    <row r="661" ht="13.8"/>
    <row r="662" ht="13.8"/>
    <row r="663" ht="13.8"/>
    <row r="664" ht="13.8"/>
    <row r="665" ht="13.8"/>
    <row r="666" ht="13.8"/>
    <row r="667" ht="13.8"/>
    <row r="668" ht="13.8"/>
    <row r="669" ht="13.8"/>
    <row r="670" ht="13.8"/>
    <row r="671" ht="13.8"/>
    <row r="672" ht="13.8"/>
    <row r="673" ht="13.8"/>
    <row r="674" ht="13.8"/>
    <row r="675" ht="13.8"/>
    <row r="676" ht="13.8"/>
    <row r="677" ht="13.8"/>
    <row r="678" ht="13.8"/>
    <row r="679" ht="13.8"/>
    <row r="680" ht="13.8"/>
    <row r="681" ht="13.8"/>
    <row r="682" ht="13.8"/>
    <row r="683" ht="13.8"/>
    <row r="684" ht="13.8"/>
    <row r="685" ht="13.8"/>
    <row r="686" ht="13.8"/>
    <row r="687" ht="13.8"/>
    <row r="688" ht="13.8"/>
    <row r="689" ht="13.8"/>
    <row r="690" ht="13.8"/>
    <row r="691" ht="13.8"/>
    <row r="692" ht="13.8"/>
    <row r="693" ht="13.8"/>
    <row r="694" ht="13.8"/>
    <row r="695" ht="13.8"/>
    <row r="696" ht="13.8"/>
    <row r="697" ht="13.8"/>
    <row r="698" ht="13.8"/>
    <row r="699" ht="13.8"/>
    <row r="700" ht="13.8"/>
    <row r="701" ht="13.8"/>
    <row r="702" ht="13.8"/>
    <row r="703" ht="13.8"/>
    <row r="704" ht="13.8"/>
    <row r="705" ht="13.8"/>
    <row r="706" ht="13.8"/>
    <row r="707" ht="13.8"/>
    <row r="708" ht="13.8"/>
    <row r="709" ht="13.8"/>
    <row r="710" ht="13.8"/>
    <row r="711" ht="13.8"/>
    <row r="712" ht="13.8"/>
    <row r="713" ht="13.8"/>
    <row r="714" ht="13.8"/>
    <row r="715" ht="13.8"/>
    <row r="716" ht="13.8"/>
    <row r="717" ht="13.8"/>
    <row r="718" ht="13.8"/>
    <row r="719" ht="13.8"/>
    <row r="720" ht="13.8"/>
    <row r="721" ht="13.8"/>
    <row r="722" ht="13.8"/>
    <row r="723" ht="13.8"/>
    <row r="724" ht="13.8"/>
    <row r="725" ht="13.8"/>
    <row r="726" ht="13.8"/>
    <row r="727" ht="13.8"/>
    <row r="728" ht="13.8"/>
    <row r="729" ht="13.8"/>
    <row r="730" ht="13.8"/>
    <row r="731" ht="13.8"/>
    <row r="732" ht="13.8"/>
    <row r="733" ht="13.8"/>
    <row r="734" ht="13.8"/>
    <row r="735" ht="13.8"/>
    <row r="736" ht="13.8"/>
    <row r="737" ht="13.8"/>
    <row r="738" ht="13.8"/>
    <row r="739" ht="13.8"/>
    <row r="740" ht="13.8"/>
    <row r="741" ht="13.8"/>
    <row r="742" ht="13.8"/>
    <row r="743" ht="13.8"/>
    <row r="744" ht="13.8"/>
    <row r="745" ht="13.8"/>
    <row r="746" ht="13.8"/>
    <row r="747" ht="13.8"/>
    <row r="748" ht="13.8"/>
    <row r="749" ht="13.8"/>
    <row r="750" ht="13.8"/>
    <row r="751" ht="13.8"/>
    <row r="752" ht="13.8"/>
    <row r="753" ht="13.8"/>
    <row r="754" ht="13.8"/>
    <row r="755" ht="13.8"/>
    <row r="756" ht="13.8"/>
    <row r="757" ht="13.8"/>
    <row r="758" ht="13.8"/>
    <row r="759" ht="13.8"/>
    <row r="760" ht="13.8"/>
    <row r="761" ht="13.8"/>
    <row r="762" ht="13.8"/>
    <row r="763" ht="13.8"/>
    <row r="764" ht="13.8"/>
    <row r="765" ht="13.8"/>
    <row r="766" ht="13.8"/>
    <row r="767" ht="13.8"/>
    <row r="768" ht="13.8"/>
    <row r="769" ht="13.8"/>
    <row r="770" ht="13.8"/>
    <row r="771" ht="13.8"/>
    <row r="772" ht="13.8"/>
    <row r="773" ht="13.8"/>
    <row r="774" ht="13.8"/>
    <row r="775" ht="13.8"/>
    <row r="776" ht="13.8"/>
    <row r="777" ht="13.8"/>
    <row r="778" ht="13.8"/>
    <row r="779" ht="13.8"/>
    <row r="780" ht="13.8"/>
    <row r="781" ht="13.8"/>
    <row r="782" ht="13.8"/>
    <row r="783" ht="13.8"/>
    <row r="784" ht="13.8"/>
    <row r="785" ht="13.8"/>
    <row r="786" ht="13.8"/>
    <row r="787" ht="13.8"/>
    <row r="788" ht="13.8"/>
    <row r="789" ht="13.8"/>
    <row r="790" ht="13.8"/>
    <row r="791" ht="13.8"/>
    <row r="792" ht="13.8"/>
    <row r="793" ht="13.8"/>
    <row r="794" ht="13.8"/>
    <row r="795" ht="13.8"/>
    <row r="796" ht="13.8"/>
    <row r="797" ht="13.8"/>
    <row r="798" ht="13.8"/>
    <row r="799" ht="13.8"/>
    <row r="800" ht="13.8"/>
    <row r="801" ht="13.8"/>
    <row r="802" ht="13.8"/>
    <row r="803" ht="13.8"/>
    <row r="804" ht="13.8"/>
    <row r="805" ht="13.8"/>
    <row r="806" ht="13.8"/>
    <row r="807" ht="13.8"/>
    <row r="808" ht="13.8"/>
    <row r="809" ht="13.8"/>
    <row r="810" ht="13.8"/>
    <row r="811" ht="13.8"/>
    <row r="812" ht="13.8"/>
    <row r="813" ht="13.8"/>
    <row r="814" ht="13.8"/>
    <row r="815" ht="13.8"/>
    <row r="816" ht="13.8"/>
    <row r="817" ht="13.8"/>
    <row r="818" ht="13.8"/>
    <row r="819" ht="13.8"/>
    <row r="820" ht="13.8"/>
    <row r="821" ht="13.8"/>
    <row r="822" ht="13.8"/>
    <row r="823" ht="13.8"/>
    <row r="824" ht="13.8"/>
    <row r="825" ht="13.8"/>
    <row r="826" ht="13.8"/>
    <row r="827" ht="13.8"/>
    <row r="828" ht="13.8"/>
    <row r="829" ht="13.8"/>
    <row r="830" ht="13.8"/>
    <row r="831" ht="13.8"/>
    <row r="832" ht="13.8"/>
    <row r="833" ht="13.8"/>
    <row r="834" ht="13.8"/>
    <row r="835" ht="13.8"/>
    <row r="836" ht="13.8"/>
    <row r="837" ht="13.8"/>
    <row r="838" ht="13.8"/>
    <row r="839" ht="13.8"/>
    <row r="840" ht="13.8"/>
    <row r="841" ht="13.8"/>
    <row r="842" ht="13.8"/>
    <row r="843" ht="13.8"/>
    <row r="844" ht="13.8"/>
    <row r="845" ht="13.8"/>
    <row r="846" ht="13.8"/>
    <row r="847" ht="13.8"/>
    <row r="848" ht="13.8"/>
    <row r="849" ht="13.8"/>
    <row r="850" ht="13.8"/>
    <row r="851" ht="13.8"/>
    <row r="852" ht="13.8"/>
    <row r="853" ht="13.8"/>
    <row r="854" ht="13.8"/>
    <row r="855" ht="13.8"/>
    <row r="856" ht="13.8"/>
    <row r="857" ht="13.8"/>
    <row r="858" ht="13.8"/>
    <row r="859" ht="13.8"/>
    <row r="860" ht="13.8"/>
    <row r="861" ht="13.8"/>
    <row r="862" ht="13.8"/>
    <row r="863" ht="13.8"/>
    <row r="864" ht="13.8"/>
    <row r="865" ht="13.8"/>
    <row r="866" ht="13.8"/>
    <row r="867" ht="13.8"/>
    <row r="868" ht="13.8"/>
    <row r="869" ht="13.8"/>
    <row r="870" ht="13.8"/>
    <row r="871" ht="13.8"/>
    <row r="872" ht="13.8"/>
    <row r="873" ht="13.8"/>
    <row r="874" ht="13.8"/>
    <row r="875" ht="13.8"/>
    <row r="876" ht="13.8"/>
    <row r="877" ht="13.8"/>
    <row r="878" ht="13.8"/>
    <row r="879" ht="13.8"/>
    <row r="880" ht="13.8"/>
    <row r="881" ht="13.8"/>
    <row r="882" ht="13.8"/>
    <row r="883" ht="13.8"/>
    <row r="884" ht="13.8"/>
    <row r="885" ht="13.8"/>
    <row r="886" ht="13.8"/>
    <row r="887" ht="13.8"/>
    <row r="888" ht="13.8"/>
    <row r="889" ht="13.8"/>
    <row r="890" ht="13.8"/>
    <row r="891" ht="13.8"/>
    <row r="892" ht="13.8"/>
    <row r="893" ht="13.8"/>
    <row r="894" ht="13.8"/>
    <row r="895" ht="13.8"/>
    <row r="896" ht="13.8"/>
    <row r="897" ht="13.8"/>
    <row r="898" ht="13.8"/>
    <row r="899" ht="13.8"/>
    <row r="900" ht="13.8"/>
    <row r="901" ht="13.8"/>
    <row r="902" ht="13.8"/>
    <row r="903" ht="13.8"/>
    <row r="904" ht="13.8"/>
    <row r="905" ht="13.8"/>
    <row r="906" ht="13.8"/>
    <row r="907" ht="13.8"/>
    <row r="908" ht="13.8"/>
    <row r="909" ht="13.8"/>
    <row r="910" ht="13.8"/>
    <row r="911" ht="13.8"/>
    <row r="912" ht="13.8"/>
    <row r="913" ht="13.8"/>
    <row r="914" ht="13.8"/>
    <row r="915" ht="13.8"/>
    <row r="916" ht="13.8"/>
    <row r="917" ht="13.8"/>
    <row r="918" ht="13.8"/>
    <row r="919" ht="13.8"/>
    <row r="920" ht="13.8"/>
    <row r="921" ht="13.8"/>
    <row r="922" ht="13.8"/>
    <row r="923" ht="13.8"/>
    <row r="924" ht="13.8"/>
    <row r="925" ht="13.8"/>
    <row r="926" ht="13.8"/>
    <row r="927" ht="13.8"/>
    <row r="928" ht="13.8"/>
    <row r="929" ht="13.8"/>
    <row r="930" ht="13.8"/>
    <row r="931" ht="13.8"/>
    <row r="932" ht="13.8"/>
    <row r="933" ht="13.8"/>
    <row r="934" ht="13.8"/>
    <row r="935" ht="13.8"/>
    <row r="936" ht="13.8"/>
    <row r="937" ht="13.8"/>
    <row r="938" ht="13.8"/>
    <row r="939" ht="13.8"/>
    <row r="940" ht="13.8"/>
    <row r="941" ht="13.8"/>
    <row r="942" ht="13.8"/>
    <row r="943" ht="13.8"/>
    <row r="944" ht="13.8"/>
    <row r="945" ht="13.8"/>
    <row r="946" ht="13.8"/>
    <row r="947" ht="13.8"/>
    <row r="948" ht="13.8"/>
    <row r="949" ht="13.8"/>
    <row r="950" ht="13.8"/>
    <row r="951" ht="13.8"/>
    <row r="952" ht="13.8"/>
    <row r="953" ht="13.8"/>
    <row r="954" ht="13.8"/>
    <row r="955" ht="13.8"/>
    <row r="956" ht="13.8"/>
    <row r="957" ht="13.8"/>
    <row r="958" ht="13.8"/>
    <row r="959" ht="13.8"/>
    <row r="960" ht="13.8"/>
    <row r="961" ht="13.8"/>
    <row r="962" ht="13.8"/>
    <row r="963" ht="13.8"/>
    <row r="964" ht="13.8"/>
    <row r="965" ht="13.8"/>
    <row r="966" ht="13.8"/>
    <row r="967" ht="13.8"/>
    <row r="968" ht="13.8"/>
    <row r="969" ht="13.8"/>
    <row r="970" ht="13.8"/>
    <row r="971" ht="13.8"/>
    <row r="972" ht="13.8"/>
    <row r="973" ht="13.8"/>
    <row r="974" ht="13.8"/>
    <row r="975" ht="13.8"/>
    <row r="976" ht="13.8"/>
    <row r="977" ht="13.8"/>
    <row r="978" ht="13.8"/>
    <row r="979" ht="13.8"/>
    <row r="980" ht="13.8"/>
    <row r="981" ht="13.8"/>
    <row r="982" ht="13.8"/>
    <row r="983" ht="13.8"/>
    <row r="984" ht="13.8"/>
    <row r="985" ht="13.8"/>
    <row r="986" ht="13.8"/>
    <row r="987" ht="13.8"/>
    <row r="988" ht="13.8"/>
    <row r="989" ht="13.8"/>
    <row r="990" ht="13.8"/>
    <row r="991" ht="13.8"/>
    <row r="992" ht="13.8"/>
    <row r="993" ht="13.8"/>
    <row r="994" ht="13.8"/>
    <row r="995" ht="13.8"/>
    <row r="996" ht="13.8"/>
    <row r="997" ht="13.8"/>
    <row r="998" ht="13.8"/>
    <row r="999" ht="13.8"/>
    <row r="1000" ht="13.8"/>
  </sheetData>
  <mergeCells count="38">
    <mergeCell ref="B31:E31"/>
    <mergeCell ref="B34:D36"/>
    <mergeCell ref="G34:I36"/>
    <mergeCell ref="B25:E25"/>
    <mergeCell ref="B26:E26"/>
    <mergeCell ref="B27:E27"/>
    <mergeCell ref="B28:E28"/>
    <mergeCell ref="B29:E29"/>
    <mergeCell ref="B30:E30"/>
    <mergeCell ref="B32:I32"/>
    <mergeCell ref="B20:E20"/>
    <mergeCell ref="B21:E21"/>
    <mergeCell ref="B22:E22"/>
    <mergeCell ref="B23:E23"/>
    <mergeCell ref="B24:E24"/>
    <mergeCell ref="C15:E15"/>
    <mergeCell ref="G15:I15"/>
    <mergeCell ref="C16:E16"/>
    <mergeCell ref="G16:I16"/>
    <mergeCell ref="B18:I19"/>
    <mergeCell ref="C12:E12"/>
    <mergeCell ref="B13:E13"/>
    <mergeCell ref="G13:I13"/>
    <mergeCell ref="C14:E14"/>
    <mergeCell ref="G14:I14"/>
    <mergeCell ref="B9:E9"/>
    <mergeCell ref="F9:I9"/>
    <mergeCell ref="C10:E10"/>
    <mergeCell ref="G10:I10"/>
    <mergeCell ref="C11:E11"/>
    <mergeCell ref="G11:I11"/>
    <mergeCell ref="B1:E5"/>
    <mergeCell ref="F1:G3"/>
    <mergeCell ref="H1:I3"/>
    <mergeCell ref="F4:G5"/>
    <mergeCell ref="B7:B8"/>
    <mergeCell ref="C7:C8"/>
    <mergeCell ref="G7:I8"/>
  </mergeCells>
  <conditionalFormatting sqref="M1">
    <cfRule type="containsText" dxfId="14" priority="1" operator="containsText" text="APROBADO">
      <formula>NOT(ISERROR(SEARCH(("APROBADO"),(M1))))</formula>
    </cfRule>
    <cfRule type="containsText" dxfId="13" priority="2" operator="containsText" text="NOTIFICADO">
      <formula>NOT(ISERROR(SEARCH(("NOTIFICADO"),(M1))))</formula>
    </cfRule>
    <cfRule type="containsText" dxfId="12" priority="3" operator="containsText" text="RECHAZADO">
      <formula>NOT(ISERROR(SEARCH(("RECHAZADO"),(M1))))</formula>
    </cfRule>
  </conditionalFormatting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  <pageSetUpPr fitToPage="1"/>
  </sheetPr>
  <dimension ref="A2:M54"/>
  <sheetViews>
    <sheetView workbookViewId="0"/>
  </sheetViews>
  <sheetFormatPr defaultColWidth="14.44140625" defaultRowHeight="15.75" customHeight="1"/>
  <cols>
    <col min="1" max="1" width="18.33203125" customWidth="1"/>
    <col min="2" max="2" width="17.109375" customWidth="1"/>
    <col min="3" max="3" width="36.44140625" customWidth="1"/>
    <col min="4" max="4" width="18.6640625" customWidth="1"/>
    <col min="5" max="5" width="48.88671875" customWidth="1"/>
    <col min="6" max="6" width="11.44140625" customWidth="1"/>
    <col min="7" max="7" width="14.109375" customWidth="1"/>
    <col min="8" max="8" width="27.44140625" customWidth="1"/>
    <col min="9" max="9" width="6.44140625" customWidth="1"/>
    <col min="10" max="10" width="22.5546875" customWidth="1"/>
    <col min="11" max="11" width="26" customWidth="1"/>
    <col min="12" max="12" width="19.5546875" customWidth="1"/>
  </cols>
  <sheetData>
    <row r="2" spans="1:13" ht="15.75" customHeight="1">
      <c r="A2" s="159" t="s">
        <v>1270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09"/>
    </row>
    <row r="3" spans="1:13" ht="15.75" customHeight="1">
      <c r="A3" s="57"/>
      <c r="B3" s="57" t="s">
        <v>1271</v>
      </c>
      <c r="C3" s="57" t="s">
        <v>1272</v>
      </c>
      <c r="D3" s="57" t="s">
        <v>1273</v>
      </c>
      <c r="E3" s="57" t="s">
        <v>1274</v>
      </c>
      <c r="F3" s="57" t="s">
        <v>1275</v>
      </c>
      <c r="G3" s="57" t="s">
        <v>1276</v>
      </c>
      <c r="H3" s="57" t="s">
        <v>1277</v>
      </c>
      <c r="I3" s="57" t="s">
        <v>1278</v>
      </c>
      <c r="J3" s="57" t="s">
        <v>1279</v>
      </c>
      <c r="K3" s="57" t="s">
        <v>1280</v>
      </c>
      <c r="L3" s="57" t="s">
        <v>1281</v>
      </c>
      <c r="M3" s="57" t="s">
        <v>482</v>
      </c>
    </row>
    <row r="4" spans="1:13">
      <c r="A4" s="11" t="s">
        <v>483</v>
      </c>
      <c r="B4" s="11" t="s">
        <v>845</v>
      </c>
      <c r="C4" s="11" t="s">
        <v>683</v>
      </c>
      <c r="D4" s="58">
        <v>26667328</v>
      </c>
      <c r="E4" s="11" t="s">
        <v>684</v>
      </c>
      <c r="F4" s="11" t="s">
        <v>685</v>
      </c>
      <c r="G4" s="11" t="s">
        <v>140</v>
      </c>
      <c r="H4" s="11" t="s">
        <v>675</v>
      </c>
      <c r="I4" s="11">
        <v>2007</v>
      </c>
      <c r="J4" s="59">
        <v>39205</v>
      </c>
      <c r="K4" s="11" t="s">
        <v>500</v>
      </c>
      <c r="L4" s="11" t="s">
        <v>846</v>
      </c>
      <c r="M4" s="11" t="s">
        <v>847</v>
      </c>
    </row>
    <row r="5" spans="1:13">
      <c r="A5" s="11" t="s">
        <v>483</v>
      </c>
      <c r="B5" s="11" t="s">
        <v>848</v>
      </c>
      <c r="C5" s="11" t="s">
        <v>688</v>
      </c>
      <c r="D5" s="58">
        <v>11522946</v>
      </c>
      <c r="E5" s="11" t="s">
        <v>684</v>
      </c>
      <c r="F5" s="11" t="s">
        <v>693</v>
      </c>
      <c r="G5" s="11" t="s">
        <v>140</v>
      </c>
      <c r="H5" s="11" t="s">
        <v>675</v>
      </c>
      <c r="I5" s="11">
        <v>2006</v>
      </c>
      <c r="J5" s="59">
        <v>38783</v>
      </c>
      <c r="K5" s="11" t="s">
        <v>500</v>
      </c>
      <c r="L5" s="11" t="s">
        <v>849</v>
      </c>
      <c r="M5" s="11" t="s">
        <v>850</v>
      </c>
    </row>
    <row r="6" spans="1:13">
      <c r="A6" s="11" t="s">
        <v>483</v>
      </c>
      <c r="B6" s="11" t="s">
        <v>851</v>
      </c>
      <c r="C6" s="11" t="s">
        <v>688</v>
      </c>
      <c r="D6" s="58">
        <v>11522946</v>
      </c>
      <c r="E6" s="11" t="s">
        <v>689</v>
      </c>
      <c r="F6" s="11" t="s">
        <v>690</v>
      </c>
      <c r="G6" s="11" t="s">
        <v>140</v>
      </c>
      <c r="H6" s="11" t="s">
        <v>675</v>
      </c>
      <c r="I6" s="11">
        <v>2008</v>
      </c>
      <c r="J6" s="59">
        <v>39784</v>
      </c>
      <c r="K6" s="11" t="s">
        <v>500</v>
      </c>
      <c r="L6" s="11" t="s">
        <v>852</v>
      </c>
      <c r="M6" s="11" t="s">
        <v>853</v>
      </c>
    </row>
    <row r="7" spans="1:13">
      <c r="A7" s="11" t="s">
        <v>483</v>
      </c>
      <c r="B7" s="11" t="s">
        <v>854</v>
      </c>
      <c r="C7" s="11" t="s">
        <v>596</v>
      </c>
      <c r="D7" s="58">
        <v>13525995</v>
      </c>
      <c r="E7" s="11" t="s">
        <v>1282</v>
      </c>
      <c r="F7" s="11" t="s">
        <v>597</v>
      </c>
      <c r="G7" s="11" t="s">
        <v>140</v>
      </c>
      <c r="H7" s="11" t="s">
        <v>598</v>
      </c>
      <c r="I7" s="11">
        <v>2009</v>
      </c>
      <c r="J7" s="60">
        <v>40130</v>
      </c>
      <c r="K7" s="11" t="s">
        <v>500</v>
      </c>
      <c r="L7" s="11" t="s">
        <v>855</v>
      </c>
      <c r="M7" s="11" t="s">
        <v>856</v>
      </c>
    </row>
    <row r="8" spans="1:13">
      <c r="A8" s="11" t="s">
        <v>483</v>
      </c>
      <c r="B8" s="11" t="s">
        <v>858</v>
      </c>
      <c r="C8" s="11" t="s">
        <v>518</v>
      </c>
      <c r="D8" s="58">
        <v>20964650</v>
      </c>
      <c r="E8" s="11" t="s">
        <v>859</v>
      </c>
      <c r="F8" s="11" t="s">
        <v>520</v>
      </c>
      <c r="G8" s="11" t="s">
        <v>26</v>
      </c>
      <c r="H8" s="11" t="s">
        <v>521</v>
      </c>
      <c r="I8" s="11">
        <v>2013</v>
      </c>
      <c r="J8" s="59">
        <v>41431</v>
      </c>
      <c r="K8" s="11" t="s">
        <v>771</v>
      </c>
      <c r="L8" s="11" t="s">
        <v>860</v>
      </c>
      <c r="M8" s="11" t="s">
        <v>861</v>
      </c>
    </row>
    <row r="9" spans="1:13">
      <c r="A9" s="11" t="s">
        <v>483</v>
      </c>
      <c r="B9" s="11" t="s">
        <v>862</v>
      </c>
      <c r="C9" s="11" t="s">
        <v>588</v>
      </c>
      <c r="D9" s="58">
        <v>17833855</v>
      </c>
      <c r="E9" s="11" t="s">
        <v>589</v>
      </c>
      <c r="F9" s="11" t="s">
        <v>590</v>
      </c>
      <c r="G9" s="11" t="s">
        <v>140</v>
      </c>
      <c r="H9" s="11" t="s">
        <v>546</v>
      </c>
      <c r="I9" s="11">
        <v>2006</v>
      </c>
      <c r="J9" s="59">
        <v>38771</v>
      </c>
      <c r="K9" s="11" t="s">
        <v>513</v>
      </c>
      <c r="L9" s="11" t="s">
        <v>863</v>
      </c>
      <c r="M9" s="11" t="s">
        <v>864</v>
      </c>
    </row>
    <row r="10" spans="1:13">
      <c r="A10" s="11" t="s">
        <v>483</v>
      </c>
      <c r="B10" s="11" t="s">
        <v>865</v>
      </c>
      <c r="C10" s="11" t="s">
        <v>636</v>
      </c>
      <c r="D10" s="58">
        <v>35070853</v>
      </c>
      <c r="E10" s="11" t="s">
        <v>637</v>
      </c>
      <c r="F10" s="11" t="s">
        <v>638</v>
      </c>
      <c r="G10" s="11" t="s">
        <v>140</v>
      </c>
      <c r="H10" s="11" t="s">
        <v>572</v>
      </c>
      <c r="I10" s="11">
        <v>2008</v>
      </c>
      <c r="J10" s="59">
        <v>39450</v>
      </c>
      <c r="K10" s="11" t="s">
        <v>500</v>
      </c>
      <c r="L10" s="11" t="s">
        <v>866</v>
      </c>
      <c r="M10" s="11" t="s">
        <v>867</v>
      </c>
    </row>
    <row r="11" spans="1:13">
      <c r="A11" s="11" t="s">
        <v>483</v>
      </c>
      <c r="B11" s="11" t="s">
        <v>868</v>
      </c>
      <c r="C11" s="11" t="s">
        <v>636</v>
      </c>
      <c r="D11" s="58">
        <v>35070853</v>
      </c>
      <c r="E11" s="11" t="s">
        <v>637</v>
      </c>
      <c r="F11" s="11" t="s">
        <v>640</v>
      </c>
      <c r="G11" s="11" t="s">
        <v>140</v>
      </c>
      <c r="H11" s="11" t="s">
        <v>532</v>
      </c>
      <c r="I11" s="11">
        <v>2007</v>
      </c>
      <c r="J11" s="59">
        <v>39343</v>
      </c>
      <c r="K11" s="11" t="s">
        <v>513</v>
      </c>
      <c r="L11" s="11" t="s">
        <v>869</v>
      </c>
      <c r="M11" s="11" t="s">
        <v>870</v>
      </c>
    </row>
    <row r="12" spans="1:13">
      <c r="A12" s="11" t="s">
        <v>483</v>
      </c>
      <c r="B12" s="11" t="s">
        <v>871</v>
      </c>
      <c r="C12" s="11" t="s">
        <v>642</v>
      </c>
      <c r="D12" s="58">
        <v>16266220</v>
      </c>
      <c r="E12" s="11" t="s">
        <v>637</v>
      </c>
      <c r="F12" s="11" t="s">
        <v>644</v>
      </c>
      <c r="G12" s="11" t="s">
        <v>140</v>
      </c>
      <c r="H12" s="11" t="s">
        <v>645</v>
      </c>
      <c r="I12" s="11">
        <v>1999</v>
      </c>
      <c r="J12" s="59">
        <v>36949</v>
      </c>
      <c r="K12" s="11" t="s">
        <v>632</v>
      </c>
      <c r="L12" s="11" t="s">
        <v>872</v>
      </c>
      <c r="M12" s="11" t="s">
        <v>873</v>
      </c>
    </row>
    <row r="13" spans="1:13">
      <c r="A13" s="11" t="s">
        <v>483</v>
      </c>
      <c r="B13" s="11" t="s">
        <v>874</v>
      </c>
      <c r="C13" s="11" t="s">
        <v>643</v>
      </c>
      <c r="D13" s="58">
        <v>31079797</v>
      </c>
      <c r="E13" s="11" t="s">
        <v>637</v>
      </c>
      <c r="F13" s="11" t="s">
        <v>654</v>
      </c>
      <c r="G13" s="11" t="s">
        <v>140</v>
      </c>
      <c r="H13" s="11" t="s">
        <v>572</v>
      </c>
      <c r="I13" s="11">
        <v>2005</v>
      </c>
      <c r="J13" s="59">
        <v>38477</v>
      </c>
      <c r="K13" s="11" t="s">
        <v>500</v>
      </c>
      <c r="L13" s="11" t="s">
        <v>875</v>
      </c>
      <c r="M13" s="11" t="s">
        <v>876</v>
      </c>
    </row>
    <row r="14" spans="1:13">
      <c r="A14" s="11" t="s">
        <v>483</v>
      </c>
      <c r="B14" s="11" t="s">
        <v>878</v>
      </c>
      <c r="C14" s="11" t="s">
        <v>649</v>
      </c>
      <c r="D14" s="58">
        <v>33513827</v>
      </c>
      <c r="E14" s="11" t="s">
        <v>637</v>
      </c>
      <c r="F14" s="11" t="s">
        <v>650</v>
      </c>
      <c r="G14" s="11" t="s">
        <v>140</v>
      </c>
      <c r="H14" s="11" t="s">
        <v>651</v>
      </c>
      <c r="I14" s="11">
        <v>2009</v>
      </c>
      <c r="J14" s="59">
        <v>39962</v>
      </c>
      <c r="K14" s="11" t="s">
        <v>652</v>
      </c>
      <c r="L14" s="11" t="s">
        <v>879</v>
      </c>
      <c r="M14" s="11" t="s">
        <v>880</v>
      </c>
    </row>
    <row r="15" spans="1:13">
      <c r="A15" s="11" t="s">
        <v>483</v>
      </c>
      <c r="B15" s="11" t="s">
        <v>881</v>
      </c>
      <c r="C15" s="11" t="s">
        <v>643</v>
      </c>
      <c r="D15" s="58">
        <v>31079797</v>
      </c>
      <c r="E15" s="11" t="s">
        <v>637</v>
      </c>
      <c r="F15" s="11" t="s">
        <v>882</v>
      </c>
      <c r="G15" s="11" t="s">
        <v>140</v>
      </c>
      <c r="H15" s="11" t="s">
        <v>883</v>
      </c>
      <c r="I15" s="11">
        <v>2011</v>
      </c>
      <c r="J15" s="59">
        <v>39962</v>
      </c>
      <c r="K15" s="11" t="s">
        <v>652</v>
      </c>
      <c r="L15" s="11" t="s">
        <v>884</v>
      </c>
      <c r="M15" s="11" t="s">
        <v>885</v>
      </c>
    </row>
    <row r="16" spans="1:13">
      <c r="A16" s="11" t="s">
        <v>483</v>
      </c>
      <c r="B16" s="11" t="s">
        <v>886</v>
      </c>
      <c r="C16" s="11" t="s">
        <v>649</v>
      </c>
      <c r="D16" s="58">
        <v>33513827</v>
      </c>
      <c r="E16" s="11" t="s">
        <v>637</v>
      </c>
      <c r="F16" s="11" t="s">
        <v>674</v>
      </c>
      <c r="G16" s="11" t="s">
        <v>140</v>
      </c>
      <c r="H16" s="11" t="s">
        <v>675</v>
      </c>
      <c r="I16" s="11">
        <v>2010</v>
      </c>
      <c r="J16" s="59">
        <v>40242</v>
      </c>
      <c r="K16" s="11" t="s">
        <v>500</v>
      </c>
      <c r="L16" s="11" t="s">
        <v>887</v>
      </c>
      <c r="M16" s="11" t="s">
        <v>888</v>
      </c>
    </row>
    <row r="17" spans="1:13">
      <c r="A17" s="11" t="s">
        <v>483</v>
      </c>
      <c r="B17" s="11" t="s">
        <v>889</v>
      </c>
      <c r="C17" s="11" t="s">
        <v>642</v>
      </c>
      <c r="D17" s="58">
        <v>16266220</v>
      </c>
      <c r="E17" s="11" t="s">
        <v>637</v>
      </c>
      <c r="F17" s="11" t="s">
        <v>678</v>
      </c>
      <c r="G17" s="11" t="s">
        <v>140</v>
      </c>
      <c r="H17" s="11" t="s">
        <v>675</v>
      </c>
      <c r="I17" s="11">
        <v>2012</v>
      </c>
      <c r="J17" s="59">
        <v>40974</v>
      </c>
      <c r="K17" s="11" t="s">
        <v>500</v>
      </c>
      <c r="L17" s="11" t="s">
        <v>890</v>
      </c>
      <c r="M17" s="11" t="s">
        <v>891</v>
      </c>
    </row>
    <row r="18" spans="1:13">
      <c r="A18" s="11" t="s">
        <v>483</v>
      </c>
      <c r="B18" s="11" t="s">
        <v>892</v>
      </c>
      <c r="C18" s="11" t="s">
        <v>606</v>
      </c>
      <c r="D18" s="58">
        <v>34506563</v>
      </c>
      <c r="E18" s="11" t="s">
        <v>607</v>
      </c>
      <c r="F18" s="11" t="s">
        <v>608</v>
      </c>
      <c r="G18" s="11" t="s">
        <v>140</v>
      </c>
      <c r="H18" s="11" t="s">
        <v>609</v>
      </c>
      <c r="I18" s="11">
        <v>2001</v>
      </c>
      <c r="J18" s="59">
        <v>37048</v>
      </c>
      <c r="K18" s="11" t="s">
        <v>487</v>
      </c>
      <c r="L18" s="11" t="s">
        <v>893</v>
      </c>
      <c r="M18" s="11" t="s">
        <v>894</v>
      </c>
    </row>
    <row r="19" spans="1:13">
      <c r="A19" s="11" t="s">
        <v>483</v>
      </c>
      <c r="B19" s="11" t="s">
        <v>896</v>
      </c>
      <c r="C19" s="11" t="s">
        <v>506</v>
      </c>
      <c r="D19" s="58">
        <v>17586302</v>
      </c>
      <c r="E19" s="11" t="s">
        <v>507</v>
      </c>
      <c r="F19" s="11" t="s">
        <v>508</v>
      </c>
      <c r="G19" s="11" t="s">
        <v>140</v>
      </c>
      <c r="H19" s="11" t="s">
        <v>509</v>
      </c>
      <c r="I19" s="11">
        <v>2008</v>
      </c>
      <c r="J19" s="59">
        <v>39454</v>
      </c>
      <c r="K19" s="11" t="s">
        <v>510</v>
      </c>
      <c r="L19" s="11" t="s">
        <v>897</v>
      </c>
      <c r="M19" s="11" t="s">
        <v>898</v>
      </c>
    </row>
    <row r="20" spans="1:13">
      <c r="A20" s="11" t="s">
        <v>483</v>
      </c>
      <c r="B20" s="11" t="s">
        <v>899</v>
      </c>
      <c r="C20" s="11" t="s">
        <v>524</v>
      </c>
      <c r="D20" s="58">
        <v>17408609</v>
      </c>
      <c r="E20" s="11" t="s">
        <v>900</v>
      </c>
      <c r="F20" s="11" t="s">
        <v>527</v>
      </c>
      <c r="G20" s="11" t="s">
        <v>140</v>
      </c>
      <c r="H20" s="11" t="s">
        <v>486</v>
      </c>
      <c r="I20" s="11">
        <v>2010</v>
      </c>
      <c r="J20" s="59">
        <v>40317</v>
      </c>
      <c r="K20" s="11" t="s">
        <v>558</v>
      </c>
      <c r="L20" s="11" t="s">
        <v>901</v>
      </c>
      <c r="M20" s="11" t="s">
        <v>902</v>
      </c>
    </row>
    <row r="21" spans="1:13">
      <c r="A21" s="11" t="s">
        <v>483</v>
      </c>
      <c r="B21" s="11" t="s">
        <v>904</v>
      </c>
      <c r="C21" s="11" t="s">
        <v>591</v>
      </c>
      <c r="D21" s="58">
        <v>22082221</v>
      </c>
      <c r="E21" s="11" t="s">
        <v>592</v>
      </c>
      <c r="F21" s="11" t="s">
        <v>595</v>
      </c>
      <c r="G21" s="11" t="s">
        <v>140</v>
      </c>
      <c r="H21" s="11" t="s">
        <v>486</v>
      </c>
      <c r="I21" s="11">
        <v>2012</v>
      </c>
      <c r="J21" s="60">
        <v>41206</v>
      </c>
      <c r="K21" s="11" t="s">
        <v>558</v>
      </c>
      <c r="L21" s="11" t="s">
        <v>905</v>
      </c>
      <c r="M21" s="11" t="s">
        <v>906</v>
      </c>
    </row>
    <row r="22" spans="1:13">
      <c r="A22" s="11" t="s">
        <v>483</v>
      </c>
      <c r="B22" s="11" t="s">
        <v>908</v>
      </c>
      <c r="C22" s="11" t="s">
        <v>591</v>
      </c>
      <c r="D22" s="58">
        <v>22082221</v>
      </c>
      <c r="E22" s="11" t="s">
        <v>592</v>
      </c>
      <c r="F22" s="11" t="s">
        <v>594</v>
      </c>
      <c r="G22" s="11" t="s">
        <v>140</v>
      </c>
      <c r="H22" s="11" t="s">
        <v>768</v>
      </c>
      <c r="I22" s="11">
        <v>2012</v>
      </c>
      <c r="J22" s="59">
        <v>41051</v>
      </c>
      <c r="K22" s="11" t="s">
        <v>487</v>
      </c>
      <c r="L22" s="11" t="s">
        <v>909</v>
      </c>
      <c r="M22" s="11" t="s">
        <v>910</v>
      </c>
    </row>
    <row r="23" spans="1:13">
      <c r="A23" s="11" t="s">
        <v>483</v>
      </c>
      <c r="B23" s="11" t="s">
        <v>911</v>
      </c>
      <c r="C23" s="11" t="s">
        <v>715</v>
      </c>
      <c r="D23" s="58">
        <v>23602686</v>
      </c>
      <c r="E23" s="11" t="s">
        <v>912</v>
      </c>
      <c r="F23" s="11" t="s">
        <v>523</v>
      </c>
      <c r="G23" s="11" t="s">
        <v>140</v>
      </c>
      <c r="H23" s="11" t="s">
        <v>913</v>
      </c>
      <c r="I23" s="11">
        <v>2008</v>
      </c>
      <c r="J23" s="59">
        <v>39555</v>
      </c>
      <c r="K23" s="11" t="s">
        <v>500</v>
      </c>
      <c r="L23" s="11" t="s">
        <v>914</v>
      </c>
      <c r="M23" s="11" t="s">
        <v>915</v>
      </c>
    </row>
    <row r="24" spans="1:13">
      <c r="A24" s="11" t="s">
        <v>483</v>
      </c>
      <c r="B24" s="11" t="s">
        <v>917</v>
      </c>
      <c r="C24" s="11" t="s">
        <v>760</v>
      </c>
      <c r="D24" s="58">
        <v>22335998</v>
      </c>
      <c r="E24" s="11" t="s">
        <v>585</v>
      </c>
      <c r="F24" s="11" t="s">
        <v>614</v>
      </c>
      <c r="G24" s="11" t="s">
        <v>140</v>
      </c>
      <c r="H24" s="11" t="s">
        <v>546</v>
      </c>
      <c r="I24" s="11">
        <v>2006</v>
      </c>
      <c r="J24" s="59">
        <v>38875</v>
      </c>
      <c r="K24" s="11" t="s">
        <v>918</v>
      </c>
      <c r="L24" s="11" t="s">
        <v>919</v>
      </c>
      <c r="M24" s="11" t="s">
        <v>920</v>
      </c>
    </row>
    <row r="25" spans="1:13">
      <c r="A25" s="11" t="s">
        <v>483</v>
      </c>
      <c r="B25" s="11" t="s">
        <v>921</v>
      </c>
      <c r="C25" s="11" t="s">
        <v>725</v>
      </c>
      <c r="D25" s="58" t="s">
        <v>497</v>
      </c>
      <c r="E25" s="11" t="s">
        <v>922</v>
      </c>
      <c r="F25" s="11" t="s">
        <v>498</v>
      </c>
      <c r="G25" s="11" t="s">
        <v>140</v>
      </c>
      <c r="H25" s="11" t="s">
        <v>675</v>
      </c>
      <c r="I25" s="11">
        <v>2011</v>
      </c>
      <c r="J25" s="59">
        <v>40557</v>
      </c>
      <c r="K25" s="11" t="s">
        <v>771</v>
      </c>
      <c r="L25" s="11" t="s">
        <v>923</v>
      </c>
      <c r="M25" s="11" t="s">
        <v>924</v>
      </c>
    </row>
    <row r="26" spans="1:13">
      <c r="A26" s="11" t="s">
        <v>483</v>
      </c>
      <c r="B26" s="11" t="s">
        <v>925</v>
      </c>
      <c r="C26" s="11" t="s">
        <v>515</v>
      </c>
      <c r="D26" s="58">
        <v>32441700</v>
      </c>
      <c r="E26" s="11" t="s">
        <v>926</v>
      </c>
      <c r="F26" s="11" t="s">
        <v>516</v>
      </c>
      <c r="G26" s="11" t="s">
        <v>140</v>
      </c>
      <c r="H26" s="11" t="s">
        <v>517</v>
      </c>
      <c r="I26" s="11">
        <v>2011</v>
      </c>
      <c r="J26" s="59">
        <v>40757</v>
      </c>
      <c r="K26" s="11" t="s">
        <v>487</v>
      </c>
      <c r="L26" s="11" t="s">
        <v>927</v>
      </c>
      <c r="M26" s="11" t="s">
        <v>928</v>
      </c>
    </row>
    <row r="27" spans="1:13" ht="13.8">
      <c r="A27" s="11" t="s">
        <v>483</v>
      </c>
      <c r="B27" s="11" t="s">
        <v>929</v>
      </c>
      <c r="C27" s="11" t="s">
        <v>515</v>
      </c>
      <c r="D27" s="58">
        <v>32441700</v>
      </c>
      <c r="E27" s="11" t="s">
        <v>926</v>
      </c>
      <c r="F27" s="11" t="s">
        <v>529</v>
      </c>
      <c r="G27" s="11" t="s">
        <v>140</v>
      </c>
      <c r="H27" s="11" t="s">
        <v>517</v>
      </c>
      <c r="I27" s="11">
        <v>2013</v>
      </c>
      <c r="J27" s="59">
        <v>41288</v>
      </c>
      <c r="K27" s="11" t="s">
        <v>500</v>
      </c>
      <c r="L27" s="11" t="s">
        <v>930</v>
      </c>
      <c r="M27" s="11" t="s">
        <v>931</v>
      </c>
    </row>
    <row r="28" spans="1:13" ht="13.8">
      <c r="A28" s="11" t="s">
        <v>483</v>
      </c>
      <c r="B28" s="11" t="s">
        <v>932</v>
      </c>
      <c r="C28" s="11" t="s">
        <v>576</v>
      </c>
      <c r="D28" s="58" t="s">
        <v>577</v>
      </c>
      <c r="E28" s="11" t="s">
        <v>926</v>
      </c>
      <c r="F28" s="11" t="s">
        <v>933</v>
      </c>
      <c r="G28" s="11" t="s">
        <v>140</v>
      </c>
      <c r="H28" s="11" t="s">
        <v>517</v>
      </c>
      <c r="I28" s="11">
        <v>2011</v>
      </c>
      <c r="J28" s="59">
        <v>40681</v>
      </c>
      <c r="K28" s="11" t="s">
        <v>500</v>
      </c>
      <c r="L28" s="11" t="s">
        <v>934</v>
      </c>
      <c r="M28" s="11" t="s">
        <v>935</v>
      </c>
    </row>
    <row r="29" spans="1:13" ht="13.8">
      <c r="A29" s="11" t="s">
        <v>483</v>
      </c>
      <c r="B29" s="11" t="s">
        <v>936</v>
      </c>
      <c r="C29" s="11" t="s">
        <v>576</v>
      </c>
      <c r="D29" s="58" t="s">
        <v>577</v>
      </c>
      <c r="E29" s="11" t="s">
        <v>926</v>
      </c>
      <c r="F29" s="11" t="s">
        <v>937</v>
      </c>
      <c r="G29" s="11" t="s">
        <v>140</v>
      </c>
      <c r="H29" s="11" t="s">
        <v>517</v>
      </c>
      <c r="I29" s="11">
        <v>2013</v>
      </c>
      <c r="J29" s="59">
        <v>41556</v>
      </c>
      <c r="K29" s="11" t="s">
        <v>938</v>
      </c>
      <c r="L29" s="11" t="s">
        <v>939</v>
      </c>
      <c r="M29" s="11" t="s">
        <v>940</v>
      </c>
    </row>
    <row r="30" spans="1:13" ht="13.8">
      <c r="A30" s="11" t="s">
        <v>483</v>
      </c>
      <c r="B30" s="11" t="s">
        <v>941</v>
      </c>
      <c r="C30" s="11" t="s">
        <v>576</v>
      </c>
      <c r="D30" s="58" t="s">
        <v>577</v>
      </c>
      <c r="E30" s="11" t="s">
        <v>926</v>
      </c>
      <c r="F30" s="11" t="s">
        <v>942</v>
      </c>
      <c r="G30" s="11" t="s">
        <v>140</v>
      </c>
      <c r="H30" s="11" t="s">
        <v>517</v>
      </c>
      <c r="I30" s="11">
        <v>2012</v>
      </c>
      <c r="J30" s="59">
        <v>41280</v>
      </c>
      <c r="K30" s="11" t="s">
        <v>487</v>
      </c>
      <c r="L30" s="11" t="s">
        <v>943</v>
      </c>
      <c r="M30" s="11" t="s">
        <v>944</v>
      </c>
    </row>
    <row r="31" spans="1:13" ht="13.8">
      <c r="A31" s="11" t="s">
        <v>483</v>
      </c>
      <c r="B31" s="11" t="s">
        <v>945</v>
      </c>
      <c r="C31" s="11" t="s">
        <v>576</v>
      </c>
      <c r="D31" s="58" t="s">
        <v>577</v>
      </c>
      <c r="E31" s="11" t="s">
        <v>926</v>
      </c>
      <c r="F31" s="11" t="s">
        <v>946</v>
      </c>
      <c r="G31" s="11" t="s">
        <v>140</v>
      </c>
      <c r="H31" s="11" t="s">
        <v>517</v>
      </c>
      <c r="I31" s="11">
        <v>2013</v>
      </c>
      <c r="J31" s="59">
        <v>41555</v>
      </c>
      <c r="K31" s="11" t="s">
        <v>918</v>
      </c>
      <c r="L31" s="11" t="s">
        <v>947</v>
      </c>
      <c r="M31" s="11" t="s">
        <v>948</v>
      </c>
    </row>
    <row r="32" spans="1:13" ht="13.8">
      <c r="A32" s="11" t="s">
        <v>483</v>
      </c>
      <c r="B32" s="11" t="s">
        <v>949</v>
      </c>
      <c r="C32" s="11" t="s">
        <v>603</v>
      </c>
      <c r="D32" s="58">
        <v>24856955</v>
      </c>
      <c r="E32" s="11" t="s">
        <v>604</v>
      </c>
      <c r="F32" s="11" t="s">
        <v>605</v>
      </c>
      <c r="G32" s="11" t="s">
        <v>140</v>
      </c>
      <c r="H32" s="11" t="s">
        <v>546</v>
      </c>
      <c r="I32" s="11">
        <v>2010</v>
      </c>
      <c r="J32" s="59">
        <v>40182</v>
      </c>
      <c r="K32" s="11" t="s">
        <v>487</v>
      </c>
      <c r="L32" s="11" t="s">
        <v>950</v>
      </c>
      <c r="M32" s="11" t="s">
        <v>951</v>
      </c>
    </row>
    <row r="33" spans="1:13" ht="13.8">
      <c r="A33" s="11" t="s">
        <v>483</v>
      </c>
      <c r="B33" s="11" t="s">
        <v>952</v>
      </c>
      <c r="C33" s="11" t="s">
        <v>553</v>
      </c>
      <c r="D33" s="58">
        <v>25872505</v>
      </c>
      <c r="E33" s="11" t="s">
        <v>554</v>
      </c>
      <c r="F33" s="11" t="s">
        <v>556</v>
      </c>
      <c r="G33" s="11" t="s">
        <v>140</v>
      </c>
      <c r="H33" s="11" t="s">
        <v>557</v>
      </c>
      <c r="I33" s="11">
        <v>2008</v>
      </c>
      <c r="J33" s="59">
        <v>39965</v>
      </c>
      <c r="K33" s="11" t="s">
        <v>558</v>
      </c>
      <c r="L33" s="11" t="s">
        <v>953</v>
      </c>
      <c r="M33" s="11" t="s">
        <v>954</v>
      </c>
    </row>
    <row r="34" spans="1:13" ht="13.8">
      <c r="A34" s="11" t="s">
        <v>483</v>
      </c>
      <c r="B34" s="11" t="s">
        <v>956</v>
      </c>
      <c r="C34" s="11" t="s">
        <v>555</v>
      </c>
      <c r="D34" s="58">
        <v>18209973</v>
      </c>
      <c r="E34" s="11" t="s">
        <v>554</v>
      </c>
      <c r="F34" s="11" t="s">
        <v>568</v>
      </c>
      <c r="G34" s="11" t="s">
        <v>140</v>
      </c>
      <c r="H34" s="11" t="s">
        <v>546</v>
      </c>
      <c r="I34" s="11">
        <v>2008</v>
      </c>
      <c r="J34" s="59">
        <v>39597</v>
      </c>
      <c r="K34" s="11" t="s">
        <v>558</v>
      </c>
      <c r="L34" s="11" t="s">
        <v>957</v>
      </c>
      <c r="M34" s="11" t="s">
        <v>958</v>
      </c>
    </row>
    <row r="35" spans="1:13" ht="13.8">
      <c r="A35" s="11" t="s">
        <v>483</v>
      </c>
      <c r="B35" s="11" t="s">
        <v>960</v>
      </c>
      <c r="C35" s="11" t="s">
        <v>563</v>
      </c>
      <c r="D35" s="58">
        <v>27757441</v>
      </c>
      <c r="E35" s="11" t="s">
        <v>564</v>
      </c>
      <c r="F35" s="11" t="s">
        <v>565</v>
      </c>
      <c r="G35" s="11" t="s">
        <v>140</v>
      </c>
      <c r="H35" s="11" t="s">
        <v>566</v>
      </c>
      <c r="I35" s="11">
        <v>2008</v>
      </c>
      <c r="J35" s="59">
        <v>39463</v>
      </c>
      <c r="K35" s="11" t="s">
        <v>513</v>
      </c>
      <c r="L35" s="11" t="s">
        <v>961</v>
      </c>
      <c r="M35" s="11" t="s">
        <v>962</v>
      </c>
    </row>
    <row r="36" spans="1:13" ht="13.8">
      <c r="A36" s="11" t="s">
        <v>483</v>
      </c>
      <c r="B36" s="11" t="s">
        <v>964</v>
      </c>
      <c r="C36" s="11" t="s">
        <v>965</v>
      </c>
      <c r="D36" s="58">
        <v>23243382</v>
      </c>
      <c r="E36" s="11" t="s">
        <v>966</v>
      </c>
      <c r="F36" s="11" t="s">
        <v>967</v>
      </c>
      <c r="G36" s="11" t="s">
        <v>140</v>
      </c>
      <c r="H36" s="11" t="s">
        <v>968</v>
      </c>
      <c r="I36" s="11">
        <v>2011</v>
      </c>
      <c r="J36" s="60">
        <v>40863</v>
      </c>
      <c r="K36" s="11" t="s">
        <v>513</v>
      </c>
      <c r="L36" s="11" t="s">
        <v>969</v>
      </c>
      <c r="M36" s="11" t="s">
        <v>970</v>
      </c>
    </row>
    <row r="37" spans="1:13" ht="13.8">
      <c r="A37" s="11" t="s">
        <v>483</v>
      </c>
      <c r="B37" s="11" t="s">
        <v>971</v>
      </c>
      <c r="C37" s="11" t="s">
        <v>610</v>
      </c>
      <c r="D37" s="58">
        <v>14000352</v>
      </c>
      <c r="E37" s="11" t="s">
        <v>611</v>
      </c>
      <c r="F37" s="11" t="s">
        <v>612</v>
      </c>
      <c r="G37" s="11" t="s">
        <v>12</v>
      </c>
      <c r="H37" s="11" t="s">
        <v>613</v>
      </c>
      <c r="I37" s="11">
        <v>2012</v>
      </c>
      <c r="J37" s="59">
        <v>40997</v>
      </c>
      <c r="K37" s="11" t="s">
        <v>500</v>
      </c>
      <c r="L37" s="11" t="s">
        <v>972</v>
      </c>
      <c r="M37" s="11" t="s">
        <v>973</v>
      </c>
    </row>
    <row r="38" spans="1:13" ht="13.8">
      <c r="A38" s="11" t="s">
        <v>483</v>
      </c>
      <c r="B38" s="11" t="s">
        <v>974</v>
      </c>
      <c r="C38" s="11" t="s">
        <v>747</v>
      </c>
      <c r="D38" s="19">
        <v>14577579</v>
      </c>
      <c r="E38" s="11" t="s">
        <v>748</v>
      </c>
      <c r="F38" s="11" t="s">
        <v>749</v>
      </c>
      <c r="G38" s="11" t="s">
        <v>203</v>
      </c>
      <c r="H38" s="11" t="s">
        <v>750</v>
      </c>
      <c r="I38" s="11">
        <v>2008</v>
      </c>
      <c r="J38" s="59">
        <v>39581</v>
      </c>
      <c r="K38" s="11" t="s">
        <v>751</v>
      </c>
      <c r="L38" s="11" t="s">
        <v>975</v>
      </c>
      <c r="M38" s="11" t="s">
        <v>976</v>
      </c>
    </row>
    <row r="39" spans="1:13" ht="13.8">
      <c r="A39" s="11" t="s">
        <v>483</v>
      </c>
      <c r="B39" s="11" t="s">
        <v>977</v>
      </c>
      <c r="C39" s="11" t="s">
        <v>550</v>
      </c>
      <c r="D39" s="58">
        <v>16577502</v>
      </c>
      <c r="E39" s="11" t="s">
        <v>551</v>
      </c>
      <c r="F39" s="11" t="s">
        <v>552</v>
      </c>
      <c r="G39" s="11" t="s">
        <v>140</v>
      </c>
      <c r="H39" s="11" t="s">
        <v>532</v>
      </c>
      <c r="I39" s="11">
        <v>2008</v>
      </c>
      <c r="J39" s="59">
        <v>39629</v>
      </c>
      <c r="K39" s="11" t="s">
        <v>492</v>
      </c>
      <c r="L39" s="11" t="s">
        <v>978</v>
      </c>
      <c r="M39" s="11" t="s">
        <v>979</v>
      </c>
    </row>
    <row r="40" spans="1:13" ht="13.8">
      <c r="A40" s="11" t="s">
        <v>483</v>
      </c>
      <c r="B40" s="11" t="s">
        <v>980</v>
      </c>
      <c r="C40" s="11" t="s">
        <v>731</v>
      </c>
      <c r="D40" s="19">
        <v>7373876</v>
      </c>
      <c r="E40" s="11" t="s">
        <v>730</v>
      </c>
      <c r="F40" s="11" t="s">
        <v>777</v>
      </c>
      <c r="G40" s="11" t="s">
        <v>504</v>
      </c>
      <c r="H40" s="11" t="s">
        <v>505</v>
      </c>
      <c r="I40" s="11">
        <v>2006</v>
      </c>
      <c r="J40" s="59">
        <v>38961</v>
      </c>
      <c r="K40" s="11" t="s">
        <v>487</v>
      </c>
      <c r="L40" s="11" t="s">
        <v>981</v>
      </c>
      <c r="M40" s="11" t="s">
        <v>982</v>
      </c>
    </row>
    <row r="41" spans="1:13" ht="13.8">
      <c r="A41" s="11" t="s">
        <v>483</v>
      </c>
      <c r="B41" s="11" t="s">
        <v>983</v>
      </c>
      <c r="C41" s="11" t="s">
        <v>729</v>
      </c>
      <c r="D41" s="19">
        <v>5307088</v>
      </c>
      <c r="E41" s="11" t="s">
        <v>730</v>
      </c>
      <c r="F41" s="11" t="s">
        <v>732</v>
      </c>
      <c r="G41" s="11" t="s">
        <v>504</v>
      </c>
      <c r="H41" s="11" t="s">
        <v>505</v>
      </c>
      <c r="I41" s="11">
        <v>2008</v>
      </c>
      <c r="J41" s="59">
        <v>39693</v>
      </c>
      <c r="K41" s="11" t="s">
        <v>487</v>
      </c>
      <c r="L41" s="11" t="s">
        <v>984</v>
      </c>
      <c r="M41" s="11" t="s">
        <v>985</v>
      </c>
    </row>
    <row r="42" spans="1:13" ht="13.8">
      <c r="A42" s="11" t="s">
        <v>483</v>
      </c>
      <c r="B42" s="11" t="s">
        <v>986</v>
      </c>
      <c r="C42" s="11" t="s">
        <v>593</v>
      </c>
      <c r="D42" s="58">
        <v>17852652</v>
      </c>
      <c r="E42" s="11" t="s">
        <v>619</v>
      </c>
      <c r="F42" s="11" t="s">
        <v>620</v>
      </c>
      <c r="G42" s="11" t="s">
        <v>504</v>
      </c>
      <c r="H42" s="11" t="s">
        <v>505</v>
      </c>
      <c r="I42" s="11">
        <v>2011</v>
      </c>
      <c r="J42" s="60">
        <v>40844</v>
      </c>
      <c r="K42" s="11" t="s">
        <v>487</v>
      </c>
      <c r="L42" s="11" t="s">
        <v>987</v>
      </c>
      <c r="M42" s="11" t="s">
        <v>988</v>
      </c>
    </row>
    <row r="43" spans="1:13" ht="13.8">
      <c r="A43" s="11" t="s">
        <v>483</v>
      </c>
      <c r="B43" s="11" t="s">
        <v>989</v>
      </c>
      <c r="C43" s="11" t="s">
        <v>720</v>
      </c>
      <c r="D43" s="58">
        <v>22041304</v>
      </c>
      <c r="E43" s="11" t="s">
        <v>721</v>
      </c>
      <c r="F43" s="11" t="s">
        <v>622</v>
      </c>
      <c r="G43" s="11" t="s">
        <v>140</v>
      </c>
      <c r="H43" s="11" t="s">
        <v>566</v>
      </c>
      <c r="I43" s="11">
        <v>2006</v>
      </c>
      <c r="J43" s="59">
        <v>38896</v>
      </c>
      <c r="K43" s="11" t="s">
        <v>722</v>
      </c>
      <c r="L43" s="11" t="s">
        <v>990</v>
      </c>
      <c r="M43" s="11" t="s">
        <v>991</v>
      </c>
    </row>
    <row r="44" spans="1:13" ht="13.8">
      <c r="A44" s="11" t="s">
        <v>483</v>
      </c>
      <c r="B44" s="11" t="s">
        <v>993</v>
      </c>
      <c r="C44" s="11" t="s">
        <v>665</v>
      </c>
      <c r="D44" s="58">
        <v>38999261</v>
      </c>
      <c r="E44" s="11" t="s">
        <v>666</v>
      </c>
      <c r="F44" s="11" t="s">
        <v>670</v>
      </c>
      <c r="G44" s="11" t="s">
        <v>140</v>
      </c>
      <c r="H44" s="11" t="s">
        <v>671</v>
      </c>
      <c r="I44" s="11">
        <v>2006</v>
      </c>
      <c r="J44" s="59">
        <v>38982</v>
      </c>
      <c r="K44" s="11" t="s">
        <v>492</v>
      </c>
      <c r="L44" s="11" t="s">
        <v>994</v>
      </c>
      <c r="M44" s="11" t="s">
        <v>995</v>
      </c>
    </row>
    <row r="45" spans="1:13" ht="13.8">
      <c r="A45" s="11" t="s">
        <v>483</v>
      </c>
      <c r="B45" s="11" t="s">
        <v>996</v>
      </c>
      <c r="C45" s="11" t="s">
        <v>599</v>
      </c>
      <c r="D45" s="58">
        <v>14925151</v>
      </c>
      <c r="E45" s="11" t="s">
        <v>600</v>
      </c>
      <c r="F45" s="11" t="s">
        <v>601</v>
      </c>
      <c r="G45" s="11" t="s">
        <v>67</v>
      </c>
      <c r="H45" s="11" t="s">
        <v>602</v>
      </c>
      <c r="I45" s="11">
        <v>1999</v>
      </c>
      <c r="J45" s="59">
        <v>44819</v>
      </c>
      <c r="K45" s="11" t="s">
        <v>558</v>
      </c>
      <c r="L45" s="11" t="s">
        <v>997</v>
      </c>
      <c r="M45" s="11" t="s">
        <v>998</v>
      </c>
    </row>
    <row r="46" spans="1:13" ht="13.8">
      <c r="A46" s="11" t="s">
        <v>483</v>
      </c>
      <c r="B46" s="11" t="s">
        <v>1000</v>
      </c>
      <c r="C46" s="11" t="s">
        <v>665</v>
      </c>
      <c r="D46" s="58">
        <v>38999261</v>
      </c>
      <c r="E46" s="11" t="s">
        <v>666</v>
      </c>
      <c r="F46" s="11" t="s">
        <v>667</v>
      </c>
      <c r="G46" s="11" t="s">
        <v>140</v>
      </c>
      <c r="H46" s="11" t="s">
        <v>532</v>
      </c>
      <c r="I46" s="11">
        <v>2008</v>
      </c>
      <c r="J46" s="59">
        <v>39686</v>
      </c>
      <c r="K46" s="11" t="s">
        <v>487</v>
      </c>
      <c r="L46" s="20" t="s">
        <v>1001</v>
      </c>
      <c r="M46" s="11" t="s">
        <v>1002</v>
      </c>
    </row>
    <row r="47" spans="1:13" ht="13.8">
      <c r="A47" s="11" t="s">
        <v>483</v>
      </c>
      <c r="B47" s="11" t="s">
        <v>1003</v>
      </c>
      <c r="C47" s="11" t="s">
        <v>616</v>
      </c>
      <c r="D47" s="58">
        <v>16831881</v>
      </c>
      <c r="E47" s="11" t="s">
        <v>600</v>
      </c>
      <c r="F47" s="11" t="s">
        <v>617</v>
      </c>
      <c r="G47" s="11" t="s">
        <v>140</v>
      </c>
      <c r="H47" s="11" t="s">
        <v>618</v>
      </c>
      <c r="I47" s="11">
        <v>2004</v>
      </c>
      <c r="J47" s="59">
        <v>38167</v>
      </c>
      <c r="K47" s="11" t="s">
        <v>492</v>
      </c>
      <c r="L47" s="11" t="s">
        <v>1004</v>
      </c>
      <c r="M47" s="11" t="s">
        <v>1005</v>
      </c>
    </row>
    <row r="48" spans="1:13" ht="13.8">
      <c r="A48" s="11" t="s">
        <v>483</v>
      </c>
      <c r="B48" s="11" t="s">
        <v>1006</v>
      </c>
      <c r="C48" s="11" t="s">
        <v>658</v>
      </c>
      <c r="D48" s="19">
        <v>24453669</v>
      </c>
      <c r="E48" s="11" t="s">
        <v>659</v>
      </c>
      <c r="F48" s="11" t="s">
        <v>660</v>
      </c>
      <c r="G48" s="11" t="s">
        <v>504</v>
      </c>
      <c r="H48" s="11" t="s">
        <v>505</v>
      </c>
      <c r="I48" s="11">
        <v>2007</v>
      </c>
      <c r="J48" s="59">
        <v>39416</v>
      </c>
      <c r="K48" s="11" t="s">
        <v>487</v>
      </c>
      <c r="L48" s="11" t="s">
        <v>1007</v>
      </c>
      <c r="M48" s="11" t="s">
        <v>1008</v>
      </c>
    </row>
    <row r="49" spans="1:13" ht="13.8">
      <c r="A49" s="11" t="s">
        <v>483</v>
      </c>
      <c r="B49" s="11" t="s">
        <v>1009</v>
      </c>
      <c r="C49" s="11" t="s">
        <v>569</v>
      </c>
      <c r="D49" s="58">
        <v>14060270</v>
      </c>
      <c r="E49" s="11" t="s">
        <v>570</v>
      </c>
      <c r="F49" s="11" t="s">
        <v>571</v>
      </c>
      <c r="G49" s="11" t="s">
        <v>140</v>
      </c>
      <c r="H49" s="11" t="s">
        <v>572</v>
      </c>
      <c r="I49" s="11">
        <v>2011</v>
      </c>
      <c r="J49" s="60">
        <v>40858</v>
      </c>
      <c r="K49" s="11" t="s">
        <v>500</v>
      </c>
      <c r="L49" s="11" t="s">
        <v>1010</v>
      </c>
      <c r="M49" s="11" t="s">
        <v>1011</v>
      </c>
    </row>
    <row r="50" spans="1:13" ht="13.8">
      <c r="A50" s="11" t="s">
        <v>483</v>
      </c>
      <c r="B50" s="11" t="s">
        <v>1012</v>
      </c>
      <c r="C50" s="11" t="s">
        <v>559</v>
      </c>
      <c r="D50" s="58">
        <v>22982411</v>
      </c>
      <c r="E50" s="11" t="s">
        <v>560</v>
      </c>
      <c r="F50" s="11" t="s">
        <v>561</v>
      </c>
      <c r="G50" s="11" t="s">
        <v>140</v>
      </c>
      <c r="H50" s="11" t="s">
        <v>546</v>
      </c>
      <c r="I50" s="11">
        <v>2009</v>
      </c>
      <c r="J50" s="59">
        <v>39820</v>
      </c>
      <c r="K50" s="11" t="s">
        <v>487</v>
      </c>
      <c r="L50" s="11" t="s">
        <v>1013</v>
      </c>
      <c r="M50" s="11" t="s">
        <v>1014</v>
      </c>
    </row>
    <row r="51" spans="1:13" ht="13.8">
      <c r="A51" s="11" t="s">
        <v>483</v>
      </c>
      <c r="B51" s="11" t="s">
        <v>1016</v>
      </c>
      <c r="C51" s="11" t="s">
        <v>785</v>
      </c>
      <c r="D51" s="58">
        <v>21738587</v>
      </c>
      <c r="E51" s="11" t="s">
        <v>1017</v>
      </c>
      <c r="F51" s="11" t="s">
        <v>567</v>
      </c>
      <c r="G51" s="11" t="s">
        <v>140</v>
      </c>
      <c r="H51" s="11" t="s">
        <v>675</v>
      </c>
      <c r="I51" s="11">
        <v>2010</v>
      </c>
      <c r="J51" s="59">
        <v>40210</v>
      </c>
      <c r="K51" s="11" t="s">
        <v>500</v>
      </c>
      <c r="L51" s="11" t="s">
        <v>1018</v>
      </c>
      <c r="M51" s="11" t="s">
        <v>1019</v>
      </c>
    </row>
    <row r="52" spans="1:13" ht="13.8">
      <c r="A52" s="5" t="s">
        <v>483</v>
      </c>
      <c r="B52" s="21" t="s">
        <v>1021</v>
      </c>
      <c r="C52" s="21" t="s">
        <v>625</v>
      </c>
      <c r="D52" s="22">
        <v>22498189</v>
      </c>
      <c r="E52" s="21" t="s">
        <v>624</v>
      </c>
      <c r="F52" s="21" t="s">
        <v>782</v>
      </c>
      <c r="G52" s="21" t="s">
        <v>140</v>
      </c>
      <c r="H52" s="21" t="s">
        <v>532</v>
      </c>
      <c r="I52" s="22">
        <v>2011</v>
      </c>
      <c r="J52" s="61">
        <v>40700</v>
      </c>
      <c r="K52" s="21" t="s">
        <v>558</v>
      </c>
      <c r="L52" s="21" t="s">
        <v>1022</v>
      </c>
      <c r="M52" s="21"/>
    </row>
    <row r="53" spans="1:13" ht="13.8">
      <c r="A53" s="11" t="s">
        <v>483</v>
      </c>
      <c r="B53" s="11" t="s">
        <v>1023</v>
      </c>
      <c r="C53" s="11" t="s">
        <v>559</v>
      </c>
      <c r="D53" s="58">
        <v>22982411</v>
      </c>
      <c r="E53" s="11" t="s">
        <v>807</v>
      </c>
      <c r="F53" s="11" t="s">
        <v>808</v>
      </c>
      <c r="G53" s="11" t="s">
        <v>504</v>
      </c>
      <c r="H53" s="11" t="s">
        <v>809</v>
      </c>
      <c r="I53" s="11">
        <v>2011</v>
      </c>
      <c r="J53" s="60">
        <v>40871</v>
      </c>
      <c r="K53" s="11" t="s">
        <v>492</v>
      </c>
      <c r="L53" s="21" t="s">
        <v>1024</v>
      </c>
      <c r="M53" s="11"/>
    </row>
    <row r="54" spans="1:13" ht="13.8">
      <c r="A54" s="11" t="s">
        <v>483</v>
      </c>
      <c r="B54" s="11" t="s">
        <v>1025</v>
      </c>
      <c r="C54" s="11" t="s">
        <v>669</v>
      </c>
      <c r="D54" s="58">
        <v>12338321</v>
      </c>
      <c r="E54" s="11" t="s">
        <v>1026</v>
      </c>
      <c r="F54" s="11" t="s">
        <v>1027</v>
      </c>
      <c r="G54" s="11" t="s">
        <v>140</v>
      </c>
      <c r="H54" s="11" t="s">
        <v>1028</v>
      </c>
      <c r="I54" s="11">
        <v>2011</v>
      </c>
      <c r="J54" s="59">
        <v>40556</v>
      </c>
      <c r="K54" s="11" t="s">
        <v>513</v>
      </c>
      <c r="L54" s="11" t="s">
        <v>1029</v>
      </c>
      <c r="M54" s="11"/>
    </row>
  </sheetData>
  <mergeCells count="1">
    <mergeCell ref="A2:M2"/>
  </mergeCells>
  <conditionalFormatting sqref="A4:M54">
    <cfRule type="containsText" dxfId="11" priority="1" operator="containsText" text="APROBADO">
      <formula>NOT(ISERROR(SEARCH(("APROBADO"),(A4))))</formula>
    </cfRule>
    <cfRule type="containsText" dxfId="10" priority="2" operator="containsText" text="NOTIFICADO">
      <formula>NOT(ISERROR(SEARCH(("NOTIFICADO"),(A4))))</formula>
    </cfRule>
    <cfRule type="containsText" dxfId="9" priority="3" operator="containsText" text="RECHAZADO">
      <formula>NOT(ISERROR(SEARCH(("RECHAZADO"),(A4))))</formula>
    </cfRule>
  </conditionalFormatting>
  <dataValidations count="1">
    <dataValidation type="list" allowBlank="1" showInputMessage="1" showErrorMessage="1" prompt="Seleccionar en el listado El Motivo de Verificacion Correspondiente" sqref="A4:A54" xr:uid="{00000000-0002-0000-0600-000000000000}">
      <formula1>"Transporte Escolar,Remis,Taxi,Volquetes"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  <pageSetUpPr fitToPage="1"/>
  </sheetPr>
  <dimension ref="A2:M56"/>
  <sheetViews>
    <sheetView workbookViewId="0"/>
  </sheetViews>
  <sheetFormatPr defaultColWidth="14.44140625" defaultRowHeight="15.75" customHeight="1"/>
  <cols>
    <col min="1" max="1" width="19.5546875" customWidth="1"/>
    <col min="2" max="2" width="16.5546875" customWidth="1"/>
    <col min="3" max="3" width="36.44140625" customWidth="1"/>
    <col min="4" max="4" width="18.33203125" customWidth="1"/>
    <col min="5" max="5" width="76.5546875" customWidth="1"/>
    <col min="6" max="6" width="11.44140625" customWidth="1"/>
    <col min="7" max="7" width="15.44140625" customWidth="1"/>
    <col min="8" max="8" width="30" customWidth="1"/>
    <col min="9" max="9" width="6.44140625" customWidth="1"/>
    <col min="10" max="10" width="22.5546875" customWidth="1"/>
    <col min="11" max="11" width="28.5546875" customWidth="1"/>
    <col min="12" max="12" width="21.109375" customWidth="1"/>
    <col min="13" max="13" width="17.109375" customWidth="1"/>
  </cols>
  <sheetData>
    <row r="2" spans="1:13" ht="15.75" customHeight="1">
      <c r="A2" s="160" t="s">
        <v>1283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09"/>
    </row>
    <row r="3" spans="1:13" ht="15.75" customHeight="1">
      <c r="A3" s="62"/>
      <c r="B3" s="62" t="s">
        <v>1037</v>
      </c>
      <c r="C3" s="63" t="s">
        <v>1272</v>
      </c>
      <c r="D3" s="63" t="s">
        <v>1284</v>
      </c>
      <c r="E3" s="63" t="s">
        <v>1274</v>
      </c>
      <c r="F3" s="63" t="s">
        <v>1275</v>
      </c>
      <c r="G3" s="63" t="s">
        <v>1276</v>
      </c>
      <c r="H3" s="63" t="s">
        <v>1277</v>
      </c>
      <c r="I3" s="63" t="s">
        <v>1278</v>
      </c>
      <c r="J3" s="63" t="s">
        <v>1279</v>
      </c>
      <c r="K3" s="63" t="s">
        <v>1280</v>
      </c>
      <c r="L3" s="63" t="s">
        <v>1285</v>
      </c>
      <c r="M3" s="63" t="s">
        <v>482</v>
      </c>
    </row>
    <row r="4" spans="1:13">
      <c r="A4" s="15" t="s">
        <v>483</v>
      </c>
      <c r="B4" s="15" t="s">
        <v>673</v>
      </c>
      <c r="C4" s="15" t="s">
        <v>649</v>
      </c>
      <c r="D4" s="64">
        <v>33513827</v>
      </c>
      <c r="E4" s="15" t="s">
        <v>637</v>
      </c>
      <c r="F4" s="65" t="s">
        <v>674</v>
      </c>
      <c r="G4" s="15" t="s">
        <v>140</v>
      </c>
      <c r="H4" s="15" t="s">
        <v>675</v>
      </c>
      <c r="I4" s="65">
        <v>2010</v>
      </c>
      <c r="J4" s="66">
        <v>40242</v>
      </c>
      <c r="K4" s="15" t="s">
        <v>500</v>
      </c>
      <c r="L4" s="15" t="s">
        <v>676</v>
      </c>
      <c r="M4" s="15" t="s">
        <v>1286</v>
      </c>
    </row>
    <row r="5" spans="1:13">
      <c r="A5" s="15" t="s">
        <v>483</v>
      </c>
      <c r="B5" s="15" t="s">
        <v>677</v>
      </c>
      <c r="C5" s="15" t="s">
        <v>642</v>
      </c>
      <c r="D5" s="64">
        <v>16266220</v>
      </c>
      <c r="E5" s="15" t="s">
        <v>637</v>
      </c>
      <c r="F5" s="65" t="s">
        <v>678</v>
      </c>
      <c r="G5" s="15" t="s">
        <v>140</v>
      </c>
      <c r="H5" s="15" t="s">
        <v>675</v>
      </c>
      <c r="I5" s="65">
        <v>2012</v>
      </c>
      <c r="J5" s="66">
        <v>40974</v>
      </c>
      <c r="K5" s="15" t="s">
        <v>500</v>
      </c>
      <c r="L5" s="15" t="s">
        <v>679</v>
      </c>
      <c r="M5" s="15" t="s">
        <v>1287</v>
      </c>
    </row>
    <row r="6" spans="1:13">
      <c r="A6" s="15" t="s">
        <v>483</v>
      </c>
      <c r="B6" s="15" t="s">
        <v>680</v>
      </c>
      <c r="C6" s="15" t="s">
        <v>628</v>
      </c>
      <c r="D6" s="64">
        <v>21836711</v>
      </c>
      <c r="E6" s="15" t="s">
        <v>629</v>
      </c>
      <c r="F6" s="65" t="s">
        <v>630</v>
      </c>
      <c r="G6" s="15" t="s">
        <v>140</v>
      </c>
      <c r="H6" s="15" t="s">
        <v>631</v>
      </c>
      <c r="I6" s="65">
        <v>1997</v>
      </c>
      <c r="J6" s="66">
        <v>35803</v>
      </c>
      <c r="K6" s="15" t="s">
        <v>632</v>
      </c>
      <c r="L6" s="15" t="s">
        <v>681</v>
      </c>
      <c r="M6" s="15" t="s">
        <v>1288</v>
      </c>
    </row>
    <row r="7" spans="1:13">
      <c r="A7" s="15" t="s">
        <v>483</v>
      </c>
      <c r="B7" s="15" t="s">
        <v>682</v>
      </c>
      <c r="C7" s="15" t="s">
        <v>683</v>
      </c>
      <c r="D7" s="64">
        <v>26667328</v>
      </c>
      <c r="E7" s="15" t="s">
        <v>684</v>
      </c>
      <c r="F7" s="65" t="s">
        <v>685</v>
      </c>
      <c r="G7" s="15" t="s">
        <v>140</v>
      </c>
      <c r="H7" s="15" t="s">
        <v>675</v>
      </c>
      <c r="I7" s="65">
        <v>2007</v>
      </c>
      <c r="J7" s="66">
        <v>39205</v>
      </c>
      <c r="K7" s="15" t="s">
        <v>500</v>
      </c>
      <c r="L7" s="15" t="s">
        <v>686</v>
      </c>
      <c r="M7" s="15" t="s">
        <v>1289</v>
      </c>
    </row>
    <row r="8" spans="1:13">
      <c r="A8" s="15" t="s">
        <v>483</v>
      </c>
      <c r="B8" s="15" t="s">
        <v>687</v>
      </c>
      <c r="C8" s="15" t="s">
        <v>688</v>
      </c>
      <c r="D8" s="64">
        <v>11522946</v>
      </c>
      <c r="E8" s="15" t="s">
        <v>689</v>
      </c>
      <c r="F8" s="65" t="s">
        <v>690</v>
      </c>
      <c r="G8" s="15" t="s">
        <v>140</v>
      </c>
      <c r="H8" s="15" t="s">
        <v>675</v>
      </c>
      <c r="I8" s="65">
        <v>2008</v>
      </c>
      <c r="J8" s="66">
        <v>39784</v>
      </c>
      <c r="K8" s="15" t="s">
        <v>500</v>
      </c>
      <c r="L8" s="15" t="s">
        <v>691</v>
      </c>
      <c r="M8" s="15" t="s">
        <v>1290</v>
      </c>
    </row>
    <row r="9" spans="1:13">
      <c r="A9" s="15" t="s">
        <v>483</v>
      </c>
      <c r="B9" s="15" t="s">
        <v>692</v>
      </c>
      <c r="C9" s="15" t="s">
        <v>688</v>
      </c>
      <c r="D9" s="64">
        <v>11522946</v>
      </c>
      <c r="E9" s="15" t="s">
        <v>689</v>
      </c>
      <c r="F9" s="65" t="s">
        <v>693</v>
      </c>
      <c r="G9" s="15" t="s">
        <v>140</v>
      </c>
      <c r="H9" s="15" t="s">
        <v>675</v>
      </c>
      <c r="I9" s="65">
        <v>2006</v>
      </c>
      <c r="J9" s="66">
        <v>38783</v>
      </c>
      <c r="K9" s="15" t="s">
        <v>500</v>
      </c>
      <c r="L9" s="15" t="s">
        <v>694</v>
      </c>
      <c r="M9" s="15" t="s">
        <v>1291</v>
      </c>
    </row>
    <row r="10" spans="1:13">
      <c r="A10" s="15" t="s">
        <v>483</v>
      </c>
      <c r="B10" s="15" t="s">
        <v>695</v>
      </c>
      <c r="C10" s="15" t="s">
        <v>569</v>
      </c>
      <c r="D10" s="64">
        <v>14060270</v>
      </c>
      <c r="E10" s="15" t="s">
        <v>696</v>
      </c>
      <c r="F10" s="65" t="s">
        <v>571</v>
      </c>
      <c r="G10" s="15" t="s">
        <v>140</v>
      </c>
      <c r="H10" s="15" t="s">
        <v>572</v>
      </c>
      <c r="I10" s="65">
        <v>2011</v>
      </c>
      <c r="J10" s="67">
        <v>40858</v>
      </c>
      <c r="K10" s="15" t="s">
        <v>500</v>
      </c>
      <c r="L10" s="15" t="s">
        <v>697</v>
      </c>
      <c r="M10" s="15" t="s">
        <v>1292</v>
      </c>
    </row>
    <row r="11" spans="1:13">
      <c r="A11" s="15" t="s">
        <v>483</v>
      </c>
      <c r="B11" s="15" t="s">
        <v>698</v>
      </c>
      <c r="C11" s="15" t="s">
        <v>699</v>
      </c>
      <c r="D11" s="64">
        <v>92213616</v>
      </c>
      <c r="E11" s="15" t="s">
        <v>700</v>
      </c>
      <c r="F11" s="65" t="s">
        <v>511</v>
      </c>
      <c r="G11" s="15" t="s">
        <v>140</v>
      </c>
      <c r="H11" s="15" t="s">
        <v>512</v>
      </c>
      <c r="I11" s="65">
        <v>2006</v>
      </c>
      <c r="J11" s="66">
        <v>38866</v>
      </c>
      <c r="K11" s="15" t="s">
        <v>513</v>
      </c>
      <c r="L11" s="15" t="s">
        <v>701</v>
      </c>
      <c r="M11" s="15" t="s">
        <v>1293</v>
      </c>
    </row>
    <row r="12" spans="1:13">
      <c r="A12" s="15" t="s">
        <v>483</v>
      </c>
      <c r="B12" s="15" t="s">
        <v>702</v>
      </c>
      <c r="C12" s="15" t="s">
        <v>588</v>
      </c>
      <c r="D12" s="64">
        <v>17833855</v>
      </c>
      <c r="E12" s="15" t="s">
        <v>589</v>
      </c>
      <c r="F12" s="65" t="s">
        <v>590</v>
      </c>
      <c r="G12" s="15" t="s">
        <v>140</v>
      </c>
      <c r="H12" s="15" t="s">
        <v>546</v>
      </c>
      <c r="I12" s="65">
        <v>2006</v>
      </c>
      <c r="J12" s="66">
        <v>38771</v>
      </c>
      <c r="K12" s="15" t="s">
        <v>513</v>
      </c>
      <c r="L12" s="15" t="s">
        <v>703</v>
      </c>
      <c r="M12" s="15" t="s">
        <v>1294</v>
      </c>
    </row>
    <row r="13" spans="1:13">
      <c r="A13" s="15" t="s">
        <v>483</v>
      </c>
      <c r="B13" s="15" t="s">
        <v>704</v>
      </c>
      <c r="C13" s="15" t="s">
        <v>506</v>
      </c>
      <c r="D13" s="64">
        <v>17586302</v>
      </c>
      <c r="E13" s="15" t="s">
        <v>507</v>
      </c>
      <c r="F13" s="65" t="s">
        <v>508</v>
      </c>
      <c r="G13" s="15" t="s">
        <v>140</v>
      </c>
      <c r="H13" s="15" t="s">
        <v>705</v>
      </c>
      <c r="I13" s="65">
        <v>2008</v>
      </c>
      <c r="J13" s="66">
        <v>39454</v>
      </c>
      <c r="K13" s="15" t="s">
        <v>513</v>
      </c>
      <c r="L13" s="15" t="s">
        <v>706</v>
      </c>
      <c r="M13" s="15" t="s">
        <v>1295</v>
      </c>
    </row>
    <row r="14" spans="1:13">
      <c r="A14" s="15" t="s">
        <v>483</v>
      </c>
      <c r="B14" s="15" t="s">
        <v>707</v>
      </c>
      <c r="C14" s="15" t="s">
        <v>518</v>
      </c>
      <c r="D14" s="64">
        <v>20964650</v>
      </c>
      <c r="E14" s="15" t="s">
        <v>519</v>
      </c>
      <c r="F14" s="65" t="s">
        <v>520</v>
      </c>
      <c r="G14" s="15" t="s">
        <v>26</v>
      </c>
      <c r="H14" s="15" t="s">
        <v>521</v>
      </c>
      <c r="I14" s="65">
        <v>2013</v>
      </c>
      <c r="J14" s="66">
        <v>41431</v>
      </c>
      <c r="K14" s="15" t="s">
        <v>110</v>
      </c>
      <c r="L14" s="15" t="s">
        <v>708</v>
      </c>
      <c r="M14" s="15" t="s">
        <v>1296</v>
      </c>
    </row>
    <row r="15" spans="1:13">
      <c r="A15" s="15" t="s">
        <v>483</v>
      </c>
      <c r="B15" s="15" t="s">
        <v>709</v>
      </c>
      <c r="C15" s="15" t="s">
        <v>555</v>
      </c>
      <c r="D15" s="64">
        <v>18209973</v>
      </c>
      <c r="E15" s="15" t="s">
        <v>554</v>
      </c>
      <c r="F15" s="65" t="s">
        <v>568</v>
      </c>
      <c r="G15" s="15" t="s">
        <v>140</v>
      </c>
      <c r="H15" s="15" t="s">
        <v>557</v>
      </c>
      <c r="I15" s="65">
        <v>2008</v>
      </c>
      <c r="J15" s="66">
        <v>39597</v>
      </c>
      <c r="K15" s="15" t="s">
        <v>615</v>
      </c>
      <c r="L15" s="15" t="s">
        <v>710</v>
      </c>
      <c r="M15" s="15" t="s">
        <v>1297</v>
      </c>
    </row>
    <row r="16" spans="1:13">
      <c r="A16" s="15" t="s">
        <v>483</v>
      </c>
      <c r="B16" s="15" t="s">
        <v>711</v>
      </c>
      <c r="C16" s="15" t="s">
        <v>553</v>
      </c>
      <c r="D16" s="64">
        <v>25872505</v>
      </c>
      <c r="E16" s="15" t="s">
        <v>554</v>
      </c>
      <c r="F16" s="65" t="s">
        <v>556</v>
      </c>
      <c r="G16" s="15" t="s">
        <v>712</v>
      </c>
      <c r="H16" s="15" t="s">
        <v>557</v>
      </c>
      <c r="I16" s="65">
        <v>2009</v>
      </c>
      <c r="J16" s="66">
        <v>39965</v>
      </c>
      <c r="K16" s="15" t="s">
        <v>513</v>
      </c>
      <c r="L16" s="15" t="s">
        <v>713</v>
      </c>
      <c r="M16" s="15" t="s">
        <v>1298</v>
      </c>
    </row>
    <row r="17" spans="1:13">
      <c r="A17" s="15" t="s">
        <v>483</v>
      </c>
      <c r="B17" s="15" t="s">
        <v>714</v>
      </c>
      <c r="C17" s="15" t="s">
        <v>715</v>
      </c>
      <c r="D17" s="64">
        <v>23602686</v>
      </c>
      <c r="E17" s="15" t="s">
        <v>522</v>
      </c>
      <c r="F17" s="65" t="s">
        <v>523</v>
      </c>
      <c r="G17" s="15" t="s">
        <v>140</v>
      </c>
      <c r="H17" s="15" t="s">
        <v>675</v>
      </c>
      <c r="I17" s="65">
        <v>2008</v>
      </c>
      <c r="J17" s="66">
        <v>39555</v>
      </c>
      <c r="K17" s="15" t="s">
        <v>500</v>
      </c>
      <c r="L17" s="15" t="s">
        <v>716</v>
      </c>
      <c r="M17" s="15" t="s">
        <v>1299</v>
      </c>
    </row>
    <row r="18" spans="1:13">
      <c r="A18" s="15" t="s">
        <v>483</v>
      </c>
      <c r="B18" s="15" t="s">
        <v>717</v>
      </c>
      <c r="C18" s="15" t="s">
        <v>606</v>
      </c>
      <c r="D18" s="64">
        <v>34506563</v>
      </c>
      <c r="E18" s="15" t="s">
        <v>607</v>
      </c>
      <c r="F18" s="65" t="s">
        <v>608</v>
      </c>
      <c r="G18" s="15" t="s">
        <v>140</v>
      </c>
      <c r="H18" s="15" t="s">
        <v>609</v>
      </c>
      <c r="I18" s="65">
        <v>2001</v>
      </c>
      <c r="J18" s="66">
        <v>37048</v>
      </c>
      <c r="K18" s="15" t="s">
        <v>487</v>
      </c>
      <c r="L18" s="15" t="s">
        <v>718</v>
      </c>
      <c r="M18" s="15" t="s">
        <v>1300</v>
      </c>
    </row>
    <row r="19" spans="1:13">
      <c r="A19" s="15" t="s">
        <v>483</v>
      </c>
      <c r="B19" s="15" t="s">
        <v>719</v>
      </c>
      <c r="C19" s="15" t="s">
        <v>720</v>
      </c>
      <c r="D19" s="64">
        <v>22041304</v>
      </c>
      <c r="E19" s="15" t="s">
        <v>721</v>
      </c>
      <c r="F19" s="65" t="s">
        <v>622</v>
      </c>
      <c r="G19" s="15" t="s">
        <v>140</v>
      </c>
      <c r="H19" s="15" t="s">
        <v>566</v>
      </c>
      <c r="I19" s="65">
        <v>2006</v>
      </c>
      <c r="J19" s="66">
        <v>38896</v>
      </c>
      <c r="K19" s="15" t="s">
        <v>722</v>
      </c>
      <c r="L19" s="15" t="s">
        <v>723</v>
      </c>
      <c r="M19" s="15" t="s">
        <v>1301</v>
      </c>
    </row>
    <row r="20" spans="1:13">
      <c r="A20" s="15" t="s">
        <v>483</v>
      </c>
      <c r="B20" s="15" t="s">
        <v>724</v>
      </c>
      <c r="C20" s="15" t="s">
        <v>725</v>
      </c>
      <c r="D20" s="68" t="s">
        <v>497</v>
      </c>
      <c r="E20" s="15" t="s">
        <v>726</v>
      </c>
      <c r="F20" s="65" t="s">
        <v>498</v>
      </c>
      <c r="G20" s="15" t="s">
        <v>140</v>
      </c>
      <c r="H20" s="15" t="s">
        <v>499</v>
      </c>
      <c r="I20" s="65">
        <v>2011</v>
      </c>
      <c r="J20" s="66">
        <v>40557</v>
      </c>
      <c r="K20" s="15" t="s">
        <v>500</v>
      </c>
      <c r="L20" s="15" t="s">
        <v>727</v>
      </c>
      <c r="M20" s="15" t="s">
        <v>1302</v>
      </c>
    </row>
    <row r="21" spans="1:13">
      <c r="A21" s="15" t="s">
        <v>483</v>
      </c>
      <c r="B21" s="15" t="s">
        <v>728</v>
      </c>
      <c r="C21" s="15" t="s">
        <v>729</v>
      </c>
      <c r="D21" s="68">
        <v>5307088</v>
      </c>
      <c r="E21" s="15" t="s">
        <v>730</v>
      </c>
      <c r="F21" s="65" t="s">
        <v>732</v>
      </c>
      <c r="G21" s="15" t="s">
        <v>504</v>
      </c>
      <c r="H21" s="15" t="s">
        <v>505</v>
      </c>
      <c r="I21" s="65">
        <v>2008</v>
      </c>
      <c r="J21" s="66">
        <v>39693</v>
      </c>
      <c r="K21" s="15" t="s">
        <v>487</v>
      </c>
      <c r="L21" s="15" t="s">
        <v>733</v>
      </c>
      <c r="M21" s="15" t="s">
        <v>1303</v>
      </c>
    </row>
    <row r="22" spans="1:13">
      <c r="A22" s="15" t="s">
        <v>483</v>
      </c>
      <c r="B22" s="15" t="s">
        <v>734</v>
      </c>
      <c r="C22" s="15" t="s">
        <v>596</v>
      </c>
      <c r="D22" s="68">
        <v>13525995</v>
      </c>
      <c r="E22" s="15" t="s">
        <v>735</v>
      </c>
      <c r="F22" s="65" t="s">
        <v>597</v>
      </c>
      <c r="G22" s="15" t="s">
        <v>140</v>
      </c>
      <c r="H22" s="15" t="s">
        <v>572</v>
      </c>
      <c r="I22" s="65">
        <v>2009</v>
      </c>
      <c r="J22" s="67">
        <v>40130</v>
      </c>
      <c r="K22" s="15" t="s">
        <v>500</v>
      </c>
      <c r="L22" s="15" t="s">
        <v>736</v>
      </c>
      <c r="M22" s="15" t="s">
        <v>1304</v>
      </c>
    </row>
    <row r="23" spans="1:13">
      <c r="A23" s="15" t="s">
        <v>483</v>
      </c>
      <c r="B23" s="15" t="s">
        <v>737</v>
      </c>
      <c r="C23" s="15" t="s">
        <v>738</v>
      </c>
      <c r="D23" s="68">
        <v>44713969</v>
      </c>
      <c r="E23" s="15" t="s">
        <v>522</v>
      </c>
      <c r="F23" s="65" t="s">
        <v>739</v>
      </c>
      <c r="G23" s="15" t="s">
        <v>140</v>
      </c>
      <c r="H23" s="15" t="s">
        <v>546</v>
      </c>
      <c r="I23" s="65">
        <v>2008</v>
      </c>
      <c r="J23" s="66">
        <v>39583</v>
      </c>
      <c r="K23" s="15" t="s">
        <v>492</v>
      </c>
      <c r="L23" s="15" t="s">
        <v>740</v>
      </c>
      <c r="M23" s="15" t="s">
        <v>1305</v>
      </c>
    </row>
    <row r="24" spans="1:13">
      <c r="A24" s="15" t="s">
        <v>483</v>
      </c>
      <c r="B24" s="15" t="s">
        <v>741</v>
      </c>
      <c r="C24" s="15" t="s">
        <v>524</v>
      </c>
      <c r="D24" s="68">
        <v>17408609</v>
      </c>
      <c r="E24" s="15" t="s">
        <v>742</v>
      </c>
      <c r="F24" s="65" t="s">
        <v>527</v>
      </c>
      <c r="G24" s="15" t="s">
        <v>140</v>
      </c>
      <c r="H24" s="15" t="s">
        <v>486</v>
      </c>
      <c r="I24" s="65">
        <v>2010</v>
      </c>
      <c r="J24" s="66">
        <v>40317</v>
      </c>
      <c r="K24" s="15" t="s">
        <v>513</v>
      </c>
      <c r="L24" s="15" t="s">
        <v>743</v>
      </c>
      <c r="M24" s="15" t="s">
        <v>1306</v>
      </c>
    </row>
    <row r="25" spans="1:13">
      <c r="A25" s="15" t="s">
        <v>483</v>
      </c>
      <c r="B25" s="15" t="s">
        <v>744</v>
      </c>
      <c r="C25" s="15" t="s">
        <v>524</v>
      </c>
      <c r="D25" s="68">
        <v>17408609</v>
      </c>
      <c r="E25" s="15" t="s">
        <v>742</v>
      </c>
      <c r="F25" s="65" t="s">
        <v>525</v>
      </c>
      <c r="G25" s="15" t="s">
        <v>140</v>
      </c>
      <c r="H25" s="15" t="s">
        <v>526</v>
      </c>
      <c r="I25" s="65">
        <v>2008</v>
      </c>
      <c r="J25" s="67">
        <v>39778</v>
      </c>
      <c r="K25" s="15" t="s">
        <v>487</v>
      </c>
      <c r="L25" s="15" t="s">
        <v>745</v>
      </c>
      <c r="M25" s="15" t="s">
        <v>1307</v>
      </c>
    </row>
    <row r="26" spans="1:13">
      <c r="A26" s="15" t="s">
        <v>483</v>
      </c>
      <c r="B26" s="15" t="s">
        <v>746</v>
      </c>
      <c r="C26" s="15" t="s">
        <v>747</v>
      </c>
      <c r="D26" s="68">
        <v>14577579</v>
      </c>
      <c r="E26" s="15" t="s">
        <v>748</v>
      </c>
      <c r="F26" s="65" t="s">
        <v>749</v>
      </c>
      <c r="G26" s="15" t="s">
        <v>203</v>
      </c>
      <c r="H26" s="15" t="s">
        <v>750</v>
      </c>
      <c r="I26" s="65">
        <v>2008</v>
      </c>
      <c r="J26" s="66">
        <v>39581</v>
      </c>
      <c r="K26" s="15" t="s">
        <v>751</v>
      </c>
      <c r="L26" s="15" t="s">
        <v>752</v>
      </c>
      <c r="M26" s="15" t="s">
        <v>1308</v>
      </c>
    </row>
    <row r="27" spans="1:13" ht="14.4">
      <c r="A27" s="15" t="s">
        <v>483</v>
      </c>
      <c r="B27" s="15" t="s">
        <v>753</v>
      </c>
      <c r="C27" s="15" t="s">
        <v>591</v>
      </c>
      <c r="D27" s="68">
        <v>22082221</v>
      </c>
      <c r="E27" s="15" t="s">
        <v>592</v>
      </c>
      <c r="F27" s="65" t="s">
        <v>594</v>
      </c>
      <c r="G27" s="15" t="s">
        <v>140</v>
      </c>
      <c r="H27" s="15" t="s">
        <v>486</v>
      </c>
      <c r="I27" s="65">
        <v>2012</v>
      </c>
      <c r="J27" s="66">
        <v>41051</v>
      </c>
      <c r="K27" s="15" t="s">
        <v>487</v>
      </c>
      <c r="L27" s="15" t="s">
        <v>754</v>
      </c>
      <c r="M27" s="15" t="s">
        <v>1309</v>
      </c>
    </row>
    <row r="28" spans="1:13" ht="14.4">
      <c r="A28" s="15" t="s">
        <v>483</v>
      </c>
      <c r="B28" s="15" t="s">
        <v>755</v>
      </c>
      <c r="C28" s="15" t="s">
        <v>591</v>
      </c>
      <c r="D28" s="68">
        <v>22082221</v>
      </c>
      <c r="E28" s="15" t="s">
        <v>592</v>
      </c>
      <c r="F28" s="65" t="s">
        <v>595</v>
      </c>
      <c r="G28" s="15" t="s">
        <v>140</v>
      </c>
      <c r="H28" s="15" t="s">
        <v>486</v>
      </c>
      <c r="I28" s="65">
        <v>2012</v>
      </c>
      <c r="J28" s="67">
        <v>41206</v>
      </c>
      <c r="K28" s="15" t="s">
        <v>513</v>
      </c>
      <c r="L28" s="15" t="s">
        <v>756</v>
      </c>
      <c r="M28" s="15" t="s">
        <v>1310</v>
      </c>
    </row>
    <row r="29" spans="1:13" ht="14.4">
      <c r="A29" s="15" t="s">
        <v>483</v>
      </c>
      <c r="B29" s="15" t="s">
        <v>757</v>
      </c>
      <c r="C29" s="15" t="s">
        <v>610</v>
      </c>
      <c r="D29" s="64">
        <v>14000352</v>
      </c>
      <c r="E29" s="15" t="s">
        <v>611</v>
      </c>
      <c r="F29" s="65" t="s">
        <v>612</v>
      </c>
      <c r="G29" s="15" t="s">
        <v>12</v>
      </c>
      <c r="H29" s="15" t="s">
        <v>613</v>
      </c>
      <c r="I29" s="65">
        <v>2012</v>
      </c>
      <c r="J29" s="66">
        <v>40997</v>
      </c>
      <c r="K29" s="15" t="s">
        <v>500</v>
      </c>
      <c r="L29" s="15" t="s">
        <v>758</v>
      </c>
      <c r="M29" s="15" t="s">
        <v>1311</v>
      </c>
    </row>
    <row r="30" spans="1:13" ht="14.4">
      <c r="A30" s="15" t="s">
        <v>483</v>
      </c>
      <c r="B30" s="15" t="s">
        <v>759</v>
      </c>
      <c r="C30" s="15" t="s">
        <v>760</v>
      </c>
      <c r="D30" s="64">
        <v>22335998</v>
      </c>
      <c r="E30" s="15" t="s">
        <v>585</v>
      </c>
      <c r="F30" s="65" t="s">
        <v>614</v>
      </c>
      <c r="G30" s="15" t="s">
        <v>140</v>
      </c>
      <c r="H30" s="15" t="s">
        <v>546</v>
      </c>
      <c r="I30" s="65">
        <v>2006</v>
      </c>
      <c r="J30" s="66">
        <v>38875</v>
      </c>
      <c r="K30" s="15" t="s">
        <v>558</v>
      </c>
      <c r="L30" s="15" t="s">
        <v>761</v>
      </c>
      <c r="M30" s="15" t="s">
        <v>1312</v>
      </c>
    </row>
    <row r="31" spans="1:13" ht="14.4">
      <c r="A31" s="15" t="s">
        <v>483</v>
      </c>
      <c r="B31" s="15" t="s">
        <v>762</v>
      </c>
      <c r="C31" s="15" t="s">
        <v>559</v>
      </c>
      <c r="D31" s="64">
        <v>22982411</v>
      </c>
      <c r="E31" s="15" t="s">
        <v>763</v>
      </c>
      <c r="F31" s="65" t="s">
        <v>561</v>
      </c>
      <c r="G31" s="15" t="s">
        <v>140</v>
      </c>
      <c r="H31" s="15" t="s">
        <v>546</v>
      </c>
      <c r="I31" s="65">
        <v>2009</v>
      </c>
      <c r="J31" s="66">
        <v>39820</v>
      </c>
      <c r="K31" s="15" t="s">
        <v>487</v>
      </c>
      <c r="L31" s="15" t="s">
        <v>764</v>
      </c>
      <c r="M31" s="15" t="s">
        <v>1313</v>
      </c>
    </row>
    <row r="32" spans="1:13" ht="14.4">
      <c r="A32" s="15" t="s">
        <v>483</v>
      </c>
      <c r="B32" s="15" t="s">
        <v>765</v>
      </c>
      <c r="C32" s="15" t="s">
        <v>766</v>
      </c>
      <c r="D32" s="64">
        <v>23852904</v>
      </c>
      <c r="E32" s="15" t="s">
        <v>585</v>
      </c>
      <c r="F32" s="65" t="s">
        <v>767</v>
      </c>
      <c r="G32" s="15" t="s">
        <v>140</v>
      </c>
      <c r="H32" s="15" t="s">
        <v>768</v>
      </c>
      <c r="I32" s="65">
        <v>2010</v>
      </c>
      <c r="J32" s="67">
        <v>40476</v>
      </c>
      <c r="K32" s="15" t="s">
        <v>487</v>
      </c>
      <c r="L32" s="15" t="s">
        <v>769</v>
      </c>
      <c r="M32" s="15" t="s">
        <v>1314</v>
      </c>
    </row>
    <row r="33" spans="1:13" ht="14.4">
      <c r="A33" s="15" t="s">
        <v>483</v>
      </c>
      <c r="B33" s="15" t="s">
        <v>770</v>
      </c>
      <c r="C33" s="15" t="s">
        <v>540</v>
      </c>
      <c r="D33" s="64">
        <v>27696158</v>
      </c>
      <c r="E33" s="15" t="s">
        <v>541</v>
      </c>
      <c r="F33" s="65" t="s">
        <v>542</v>
      </c>
      <c r="G33" s="15" t="s">
        <v>140</v>
      </c>
      <c r="H33" s="15" t="s">
        <v>543</v>
      </c>
      <c r="I33" s="65">
        <v>2013</v>
      </c>
      <c r="J33" s="66">
        <v>41278</v>
      </c>
      <c r="K33" s="15" t="s">
        <v>771</v>
      </c>
      <c r="L33" s="15" t="s">
        <v>772</v>
      </c>
      <c r="M33" s="15" t="s">
        <v>1315</v>
      </c>
    </row>
    <row r="34" spans="1:13" ht="14.4">
      <c r="A34" s="15" t="s">
        <v>483</v>
      </c>
      <c r="B34" s="15" t="s">
        <v>773</v>
      </c>
      <c r="C34" s="15" t="s">
        <v>603</v>
      </c>
      <c r="D34" s="64">
        <v>24856955</v>
      </c>
      <c r="E34" s="15" t="s">
        <v>774</v>
      </c>
      <c r="F34" s="65" t="s">
        <v>605</v>
      </c>
      <c r="G34" s="15" t="s">
        <v>140</v>
      </c>
      <c r="H34" s="15" t="s">
        <v>546</v>
      </c>
      <c r="I34" s="65">
        <v>2010</v>
      </c>
      <c r="J34" s="66">
        <v>40182</v>
      </c>
      <c r="K34" s="15" t="s">
        <v>487</v>
      </c>
      <c r="L34" s="15" t="s">
        <v>775</v>
      </c>
      <c r="M34" s="15" t="s">
        <v>1316</v>
      </c>
    </row>
    <row r="35" spans="1:13" ht="14.4">
      <c r="A35" s="15" t="s">
        <v>483</v>
      </c>
      <c r="B35" s="15" t="s">
        <v>776</v>
      </c>
      <c r="C35" s="15" t="s">
        <v>731</v>
      </c>
      <c r="D35" s="64">
        <v>7373876</v>
      </c>
      <c r="E35" s="15" t="s">
        <v>730</v>
      </c>
      <c r="F35" s="65" t="s">
        <v>777</v>
      </c>
      <c r="G35" s="15" t="s">
        <v>504</v>
      </c>
      <c r="H35" s="15" t="s">
        <v>505</v>
      </c>
      <c r="I35" s="65">
        <v>2006</v>
      </c>
      <c r="J35" s="66">
        <v>38961</v>
      </c>
      <c r="K35" s="15" t="s">
        <v>487</v>
      </c>
      <c r="L35" s="15" t="s">
        <v>778</v>
      </c>
      <c r="M35" s="15" t="s">
        <v>1317</v>
      </c>
    </row>
    <row r="36" spans="1:13" ht="14.4">
      <c r="A36" s="15" t="s">
        <v>483</v>
      </c>
      <c r="B36" s="15" t="s">
        <v>779</v>
      </c>
      <c r="C36" s="15" t="s">
        <v>593</v>
      </c>
      <c r="D36" s="64">
        <v>17852652</v>
      </c>
      <c r="E36" s="15" t="s">
        <v>619</v>
      </c>
      <c r="F36" s="65" t="s">
        <v>620</v>
      </c>
      <c r="G36" s="15" t="s">
        <v>504</v>
      </c>
      <c r="H36" s="15" t="s">
        <v>505</v>
      </c>
      <c r="I36" s="65">
        <v>2011</v>
      </c>
      <c r="J36" s="67">
        <v>40844</v>
      </c>
      <c r="K36" s="15" t="s">
        <v>487</v>
      </c>
      <c r="L36" s="15" t="s">
        <v>780</v>
      </c>
      <c r="M36" s="15" t="s">
        <v>1318</v>
      </c>
    </row>
    <row r="37" spans="1:13" ht="14.4">
      <c r="A37" s="15" t="s">
        <v>483</v>
      </c>
      <c r="B37" s="15" t="s">
        <v>781</v>
      </c>
      <c r="C37" s="15" t="s">
        <v>625</v>
      </c>
      <c r="D37" s="64">
        <v>22498189</v>
      </c>
      <c r="E37" s="15" t="s">
        <v>624</v>
      </c>
      <c r="F37" s="65" t="s">
        <v>782</v>
      </c>
      <c r="G37" s="15" t="s">
        <v>140</v>
      </c>
      <c r="H37" s="15" t="s">
        <v>532</v>
      </c>
      <c r="I37" s="65">
        <v>2011</v>
      </c>
      <c r="J37" s="66">
        <v>40700</v>
      </c>
      <c r="K37" s="15" t="s">
        <v>558</v>
      </c>
      <c r="L37" s="15" t="s">
        <v>783</v>
      </c>
      <c r="M37" s="15" t="s">
        <v>1319</v>
      </c>
    </row>
    <row r="38" spans="1:13" ht="14.4">
      <c r="A38" s="15" t="s">
        <v>483</v>
      </c>
      <c r="B38" s="15" t="s">
        <v>784</v>
      </c>
      <c r="C38" s="15" t="s">
        <v>785</v>
      </c>
      <c r="D38" s="64">
        <v>21738587</v>
      </c>
      <c r="E38" s="15" t="s">
        <v>786</v>
      </c>
      <c r="F38" s="65" t="s">
        <v>567</v>
      </c>
      <c r="G38" s="15" t="s">
        <v>140</v>
      </c>
      <c r="H38" s="15" t="s">
        <v>675</v>
      </c>
      <c r="I38" s="65">
        <v>2010</v>
      </c>
      <c r="J38" s="66">
        <v>40210</v>
      </c>
      <c r="K38" s="15" t="s">
        <v>500</v>
      </c>
      <c r="L38" s="15" t="s">
        <v>787</v>
      </c>
      <c r="M38" s="15" t="s">
        <v>1320</v>
      </c>
    </row>
    <row r="39" spans="1:13" ht="14.4">
      <c r="A39" s="15" t="s">
        <v>483</v>
      </c>
      <c r="B39" s="15" t="s">
        <v>788</v>
      </c>
      <c r="C39" s="15" t="s">
        <v>616</v>
      </c>
      <c r="D39" s="64">
        <v>16831881</v>
      </c>
      <c r="E39" s="15" t="s">
        <v>600</v>
      </c>
      <c r="F39" s="65" t="s">
        <v>617</v>
      </c>
      <c r="G39" s="15" t="s">
        <v>140</v>
      </c>
      <c r="H39" s="15" t="s">
        <v>618</v>
      </c>
      <c r="I39" s="65">
        <v>2004</v>
      </c>
      <c r="J39" s="66">
        <v>38167</v>
      </c>
      <c r="K39" s="15" t="s">
        <v>492</v>
      </c>
      <c r="L39" s="15" t="s">
        <v>789</v>
      </c>
      <c r="M39" s="15" t="s">
        <v>1321</v>
      </c>
    </row>
    <row r="40" spans="1:13" ht="14.4">
      <c r="A40" s="15" t="s">
        <v>483</v>
      </c>
      <c r="B40" s="15" t="s">
        <v>790</v>
      </c>
      <c r="C40" s="15" t="s">
        <v>791</v>
      </c>
      <c r="D40" s="64">
        <v>12714332</v>
      </c>
      <c r="E40" s="15" t="s">
        <v>792</v>
      </c>
      <c r="F40" s="65" t="s">
        <v>531</v>
      </c>
      <c r="G40" s="15" t="s">
        <v>140</v>
      </c>
      <c r="H40" s="15" t="s">
        <v>532</v>
      </c>
      <c r="I40" s="65">
        <v>2007</v>
      </c>
      <c r="J40" s="66">
        <v>39244</v>
      </c>
      <c r="K40" s="15" t="s">
        <v>492</v>
      </c>
      <c r="L40" s="15" t="s">
        <v>793</v>
      </c>
      <c r="M40" s="15" t="s">
        <v>1322</v>
      </c>
    </row>
    <row r="41" spans="1:13" ht="14.4">
      <c r="A41" s="15" t="s">
        <v>483</v>
      </c>
      <c r="B41" s="15" t="s">
        <v>794</v>
      </c>
      <c r="C41" s="15" t="s">
        <v>599</v>
      </c>
      <c r="D41" s="64">
        <v>14925151</v>
      </c>
      <c r="E41" s="15" t="s">
        <v>600</v>
      </c>
      <c r="F41" s="65" t="s">
        <v>601</v>
      </c>
      <c r="G41" s="15" t="s">
        <v>67</v>
      </c>
      <c r="H41" s="15" t="s">
        <v>602</v>
      </c>
      <c r="I41" s="65">
        <v>1999</v>
      </c>
      <c r="J41" s="66">
        <v>36784</v>
      </c>
      <c r="K41" s="15" t="s">
        <v>558</v>
      </c>
      <c r="L41" s="15" t="s">
        <v>795</v>
      </c>
      <c r="M41" s="15" t="s">
        <v>1323</v>
      </c>
    </row>
    <row r="42" spans="1:13" ht="14.4">
      <c r="A42" s="15" t="s">
        <v>483</v>
      </c>
      <c r="B42" s="15" t="s">
        <v>796</v>
      </c>
      <c r="C42" s="15" t="s">
        <v>797</v>
      </c>
      <c r="D42" s="64">
        <v>18179076</v>
      </c>
      <c r="E42" s="15" t="s">
        <v>798</v>
      </c>
      <c r="F42" s="65" t="s">
        <v>799</v>
      </c>
      <c r="G42" s="15" t="s">
        <v>140</v>
      </c>
      <c r="H42" s="15" t="s">
        <v>532</v>
      </c>
      <c r="I42" s="65">
        <v>2008</v>
      </c>
      <c r="J42" s="66">
        <v>39450</v>
      </c>
      <c r="K42" s="15" t="s">
        <v>487</v>
      </c>
      <c r="L42" s="15" t="s">
        <v>800</v>
      </c>
      <c r="M42" s="15" t="s">
        <v>1324</v>
      </c>
    </row>
    <row r="43" spans="1:13" ht="14.4">
      <c r="A43" s="15" t="s">
        <v>483</v>
      </c>
      <c r="B43" s="15" t="s">
        <v>801</v>
      </c>
      <c r="C43" s="15" t="s">
        <v>550</v>
      </c>
      <c r="D43" s="64">
        <v>16577502</v>
      </c>
      <c r="E43" s="15" t="s">
        <v>551</v>
      </c>
      <c r="F43" s="65" t="s">
        <v>552</v>
      </c>
      <c r="G43" s="15" t="s">
        <v>140</v>
      </c>
      <c r="H43" s="15" t="s">
        <v>532</v>
      </c>
      <c r="I43" s="65">
        <v>2008</v>
      </c>
      <c r="J43" s="66">
        <v>39629</v>
      </c>
      <c r="K43" s="15" t="s">
        <v>492</v>
      </c>
      <c r="L43" s="15" t="s">
        <v>802</v>
      </c>
      <c r="M43" s="15" t="s">
        <v>1325</v>
      </c>
    </row>
    <row r="44" spans="1:13" ht="14.4">
      <c r="A44" s="15" t="s">
        <v>483</v>
      </c>
      <c r="B44" s="15" t="s">
        <v>803</v>
      </c>
      <c r="C44" s="15" t="s">
        <v>484</v>
      </c>
      <c r="D44" s="64">
        <v>11460217</v>
      </c>
      <c r="E44" s="15" t="s">
        <v>804</v>
      </c>
      <c r="F44" s="65" t="s">
        <v>485</v>
      </c>
      <c r="G44" s="15" t="s">
        <v>140</v>
      </c>
      <c r="H44" s="15" t="s">
        <v>486</v>
      </c>
      <c r="I44" s="65">
        <v>2010</v>
      </c>
      <c r="J44" s="66">
        <v>40185</v>
      </c>
      <c r="K44" s="15" t="s">
        <v>487</v>
      </c>
      <c r="L44" s="15" t="s">
        <v>805</v>
      </c>
      <c r="M44" s="15" t="s">
        <v>1326</v>
      </c>
    </row>
    <row r="45" spans="1:13" ht="14.4">
      <c r="A45" s="69" t="s">
        <v>483</v>
      </c>
      <c r="B45" s="69" t="s">
        <v>806</v>
      </c>
      <c r="C45" s="69" t="s">
        <v>559</v>
      </c>
      <c r="D45" s="70">
        <v>22982411</v>
      </c>
      <c r="E45" s="69" t="s">
        <v>807</v>
      </c>
      <c r="F45" s="71" t="s">
        <v>808</v>
      </c>
      <c r="G45" s="69" t="s">
        <v>504</v>
      </c>
      <c r="H45" s="69" t="s">
        <v>809</v>
      </c>
      <c r="I45" s="71">
        <v>2011</v>
      </c>
      <c r="J45" s="72">
        <v>40871</v>
      </c>
      <c r="K45" s="69" t="s">
        <v>492</v>
      </c>
      <c r="L45" s="69" t="s">
        <v>810</v>
      </c>
      <c r="M45" s="15" t="s">
        <v>1327</v>
      </c>
    </row>
    <row r="46" spans="1:13" ht="14.4">
      <c r="A46" s="69" t="s">
        <v>483</v>
      </c>
      <c r="B46" s="69" t="s">
        <v>811</v>
      </c>
      <c r="C46" s="73" t="s">
        <v>812</v>
      </c>
      <c r="D46" s="74">
        <v>18556046</v>
      </c>
      <c r="E46" s="69" t="s">
        <v>813</v>
      </c>
      <c r="F46" s="71" t="s">
        <v>562</v>
      </c>
      <c r="G46" s="73" t="s">
        <v>140</v>
      </c>
      <c r="H46" s="73" t="s">
        <v>546</v>
      </c>
      <c r="I46" s="75">
        <v>2008</v>
      </c>
      <c r="J46" s="76">
        <v>39450</v>
      </c>
      <c r="K46" s="73" t="s">
        <v>513</v>
      </c>
      <c r="L46" s="69" t="s">
        <v>814</v>
      </c>
      <c r="M46" s="15" t="s">
        <v>1328</v>
      </c>
    </row>
    <row r="47" spans="1:13" ht="14.4">
      <c r="A47" s="69" t="s">
        <v>483</v>
      </c>
      <c r="B47" s="69" t="s">
        <v>815</v>
      </c>
      <c r="C47" s="69" t="s">
        <v>563</v>
      </c>
      <c r="D47" s="70">
        <v>27757441</v>
      </c>
      <c r="E47" s="73" t="s">
        <v>564</v>
      </c>
      <c r="F47" s="75" t="s">
        <v>565</v>
      </c>
      <c r="G47" s="69" t="s">
        <v>140</v>
      </c>
      <c r="H47" s="73" t="s">
        <v>566</v>
      </c>
      <c r="I47" s="71">
        <v>2008</v>
      </c>
      <c r="J47" s="76">
        <v>39463</v>
      </c>
      <c r="K47" s="73" t="s">
        <v>513</v>
      </c>
      <c r="L47" s="69" t="s">
        <v>816</v>
      </c>
      <c r="M47" s="15" t="s">
        <v>1329</v>
      </c>
    </row>
    <row r="48" spans="1:13" ht="14.4">
      <c r="A48" s="69" t="s">
        <v>483</v>
      </c>
      <c r="B48" s="69" t="s">
        <v>817</v>
      </c>
      <c r="C48" s="69" t="s">
        <v>818</v>
      </c>
      <c r="D48" s="70">
        <v>17951209</v>
      </c>
      <c r="E48" s="69" t="s">
        <v>819</v>
      </c>
      <c r="F48" s="71" t="s">
        <v>586</v>
      </c>
      <c r="G48" s="69" t="s">
        <v>504</v>
      </c>
      <c r="H48" s="69" t="s">
        <v>505</v>
      </c>
      <c r="I48" s="71">
        <v>2009</v>
      </c>
      <c r="J48" s="77">
        <v>40123</v>
      </c>
      <c r="K48" s="69" t="s">
        <v>492</v>
      </c>
      <c r="L48" s="69" t="s">
        <v>820</v>
      </c>
      <c r="M48" s="15" t="s">
        <v>1330</v>
      </c>
    </row>
    <row r="49" spans="1:13" ht="14.4">
      <c r="A49" s="69" t="s">
        <v>483</v>
      </c>
      <c r="B49" s="69" t="s">
        <v>821</v>
      </c>
      <c r="C49" s="69" t="s">
        <v>494</v>
      </c>
      <c r="D49" s="70">
        <v>92512468</v>
      </c>
      <c r="E49" s="69" t="s">
        <v>822</v>
      </c>
      <c r="F49" s="71" t="s">
        <v>495</v>
      </c>
      <c r="G49" s="69" t="s">
        <v>140</v>
      </c>
      <c r="H49" s="69" t="s">
        <v>496</v>
      </c>
      <c r="I49" s="71">
        <v>2009</v>
      </c>
      <c r="J49" s="77">
        <v>39996</v>
      </c>
      <c r="K49" s="69" t="s">
        <v>487</v>
      </c>
      <c r="L49" s="69" t="s">
        <v>823</v>
      </c>
      <c r="M49" s="15" t="s">
        <v>1331</v>
      </c>
    </row>
    <row r="50" spans="1:13" ht="14.4">
      <c r="A50" s="69" t="s">
        <v>483</v>
      </c>
      <c r="B50" s="69" t="s">
        <v>824</v>
      </c>
      <c r="C50" s="73" t="s">
        <v>573</v>
      </c>
      <c r="D50" s="70">
        <v>20548714</v>
      </c>
      <c r="E50" s="69" t="s">
        <v>574</v>
      </c>
      <c r="F50" s="71" t="s">
        <v>575</v>
      </c>
      <c r="G50" s="69" t="s">
        <v>140</v>
      </c>
      <c r="H50" s="69" t="s">
        <v>512</v>
      </c>
      <c r="I50" s="71">
        <v>2007</v>
      </c>
      <c r="J50" s="77">
        <v>39176</v>
      </c>
      <c r="K50" s="73" t="s">
        <v>492</v>
      </c>
      <c r="L50" s="69" t="s">
        <v>825</v>
      </c>
      <c r="M50" s="15" t="s">
        <v>1332</v>
      </c>
    </row>
    <row r="51" spans="1:13" ht="14.4">
      <c r="A51" s="69" t="s">
        <v>483</v>
      </c>
      <c r="B51" s="69" t="s">
        <v>826</v>
      </c>
      <c r="C51" s="69" t="s">
        <v>633</v>
      </c>
      <c r="D51" s="70">
        <v>7829575</v>
      </c>
      <c r="E51" s="69" t="s">
        <v>634</v>
      </c>
      <c r="F51" s="71" t="s">
        <v>635</v>
      </c>
      <c r="G51" s="69" t="s">
        <v>504</v>
      </c>
      <c r="H51" s="69" t="s">
        <v>505</v>
      </c>
      <c r="I51" s="71">
        <v>2007</v>
      </c>
      <c r="J51" s="77">
        <v>39304</v>
      </c>
      <c r="K51" s="69" t="s">
        <v>492</v>
      </c>
      <c r="L51" s="69" t="s">
        <v>827</v>
      </c>
      <c r="M51" s="15" t="s">
        <v>1333</v>
      </c>
    </row>
    <row r="52" spans="1:13" ht="14.4">
      <c r="A52" s="15" t="s">
        <v>483</v>
      </c>
      <c r="B52" s="15" t="s">
        <v>828</v>
      </c>
      <c r="C52" s="15" t="s">
        <v>829</v>
      </c>
      <c r="D52" s="64">
        <v>23888736</v>
      </c>
      <c r="E52" s="15" t="s">
        <v>813</v>
      </c>
      <c r="F52" s="65" t="s">
        <v>830</v>
      </c>
      <c r="G52" s="15" t="s">
        <v>140</v>
      </c>
      <c r="H52" s="15" t="s">
        <v>546</v>
      </c>
      <c r="I52" s="65">
        <v>2009</v>
      </c>
      <c r="J52" s="66">
        <v>40024</v>
      </c>
      <c r="K52" s="15" t="s">
        <v>558</v>
      </c>
      <c r="L52" s="15" t="s">
        <v>831</v>
      </c>
      <c r="M52" s="15" t="s">
        <v>1334</v>
      </c>
    </row>
    <row r="53" spans="1:13" ht="14.4">
      <c r="A53" s="69" t="s">
        <v>483</v>
      </c>
      <c r="B53" s="69" t="s">
        <v>832</v>
      </c>
      <c r="C53" s="69" t="s">
        <v>623</v>
      </c>
      <c r="D53" s="70">
        <v>22606584</v>
      </c>
      <c r="E53" s="69" t="s">
        <v>624</v>
      </c>
      <c r="F53" s="71" t="s">
        <v>626</v>
      </c>
      <c r="G53" s="69" t="s">
        <v>504</v>
      </c>
      <c r="H53" s="69" t="s">
        <v>505</v>
      </c>
      <c r="I53" s="71">
        <v>2006</v>
      </c>
      <c r="J53" s="77">
        <v>38952</v>
      </c>
      <c r="K53" s="69" t="s">
        <v>487</v>
      </c>
      <c r="L53" s="69" t="s">
        <v>833</v>
      </c>
      <c r="M53" s="15" t="s">
        <v>1335</v>
      </c>
    </row>
    <row r="54" spans="1:13" ht="14.4">
      <c r="A54" s="15" t="s">
        <v>483</v>
      </c>
      <c r="B54" s="15" t="s">
        <v>834</v>
      </c>
      <c r="C54" s="15" t="s">
        <v>580</v>
      </c>
      <c r="D54" s="64">
        <v>31080966</v>
      </c>
      <c r="E54" s="15" t="s">
        <v>581</v>
      </c>
      <c r="F54" s="65" t="s">
        <v>582</v>
      </c>
      <c r="G54" s="15" t="s">
        <v>140</v>
      </c>
      <c r="H54" s="15" t="s">
        <v>512</v>
      </c>
      <c r="I54" s="65">
        <v>2005</v>
      </c>
      <c r="J54" s="66">
        <v>38511</v>
      </c>
      <c r="K54" s="15" t="s">
        <v>513</v>
      </c>
      <c r="L54" s="15" t="s">
        <v>835</v>
      </c>
      <c r="M54" s="15" t="s">
        <v>1336</v>
      </c>
    </row>
    <row r="55" spans="1:13" ht="14.4">
      <c r="A55" s="69" t="s">
        <v>483</v>
      </c>
      <c r="B55" s="69" t="s">
        <v>836</v>
      </c>
      <c r="C55" s="69" t="s">
        <v>533</v>
      </c>
      <c r="D55" s="70">
        <v>20246137</v>
      </c>
      <c r="E55" s="69" t="s">
        <v>534</v>
      </c>
      <c r="F55" s="71" t="s">
        <v>535</v>
      </c>
      <c r="G55" s="69" t="s">
        <v>140</v>
      </c>
      <c r="H55" s="69" t="s">
        <v>512</v>
      </c>
      <c r="I55" s="71">
        <v>2005</v>
      </c>
      <c r="J55" s="77">
        <v>38420</v>
      </c>
      <c r="K55" s="69" t="s">
        <v>837</v>
      </c>
      <c r="L55" s="69" t="s">
        <v>838</v>
      </c>
      <c r="M55" s="69" t="s">
        <v>1337</v>
      </c>
    </row>
    <row r="56" spans="1:13" ht="14.4">
      <c r="A56" s="69" t="s">
        <v>483</v>
      </c>
      <c r="B56" s="69" t="s">
        <v>839</v>
      </c>
      <c r="C56" s="69" t="s">
        <v>840</v>
      </c>
      <c r="D56" s="70">
        <v>20151412</v>
      </c>
      <c r="E56" s="69" t="s">
        <v>841</v>
      </c>
      <c r="F56" s="71" t="s">
        <v>842</v>
      </c>
      <c r="G56" s="69" t="s">
        <v>140</v>
      </c>
      <c r="H56" s="69" t="s">
        <v>843</v>
      </c>
      <c r="I56" s="71">
        <v>2012</v>
      </c>
      <c r="J56" s="77">
        <v>41120</v>
      </c>
      <c r="K56" s="69" t="s">
        <v>500</v>
      </c>
      <c r="L56" s="69" t="s">
        <v>844</v>
      </c>
      <c r="M56" s="69" t="s">
        <v>1338</v>
      </c>
    </row>
  </sheetData>
  <mergeCells count="1">
    <mergeCell ref="A2:M2"/>
  </mergeCells>
  <conditionalFormatting sqref="E4:E17 A4:D56 F4:M56 E19:E56">
    <cfRule type="containsText" dxfId="8" priority="1" operator="containsText" text="APROBADO">
      <formula>NOT(ISERROR(SEARCH(("APROBADO"),(A4))))</formula>
    </cfRule>
    <cfRule type="containsText" dxfId="7" priority="2" operator="containsText" text="NOTIFICADO">
      <formula>NOT(ISERROR(SEARCH(("NOTIFICADO"),(A4))))</formula>
    </cfRule>
    <cfRule type="containsText" dxfId="6" priority="3" operator="containsText" text="RECHAZADO">
      <formula>NOT(ISERROR(SEARCH(("RECHAZADO"),(A4))))</formula>
    </cfRule>
  </conditionalFormatting>
  <dataValidations count="1">
    <dataValidation type="list" allowBlank="1" showInputMessage="1" showErrorMessage="1" prompt="Seleccionar en el listado El Motivo de Verificacion Correspondiente" sqref="A4:A56" xr:uid="{00000000-0002-0000-0700-000000000000}">
      <formula1>"Transporte Escolar,Remis,Taxi,Volquetes"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0000"/>
    <outlinePr summaryBelow="0" summaryRight="0"/>
  </sheetPr>
  <dimension ref="A1:AK203"/>
  <sheetViews>
    <sheetView workbookViewId="0"/>
  </sheetViews>
  <sheetFormatPr defaultColWidth="14.44140625" defaultRowHeight="15.75" customHeight="1"/>
  <cols>
    <col min="1" max="1" width="12.44140625" customWidth="1"/>
    <col min="2" max="2" width="18.5546875" customWidth="1"/>
    <col min="3" max="3" width="19.5546875" customWidth="1"/>
    <col min="4" max="4" width="12.5546875" customWidth="1"/>
    <col min="5" max="5" width="14.33203125" customWidth="1"/>
    <col min="6" max="6" width="15.109375" customWidth="1"/>
    <col min="7" max="7" width="23.109375" customWidth="1"/>
    <col min="8" max="8" width="19.109375" customWidth="1"/>
    <col min="9" max="9" width="13.109375" customWidth="1"/>
    <col min="10" max="10" width="25.33203125" customWidth="1"/>
    <col min="11" max="11" width="29.109375" customWidth="1"/>
    <col min="12" max="12" width="10.88671875" customWidth="1"/>
    <col min="13" max="13" width="20.109375" customWidth="1"/>
    <col min="14" max="14" width="29.33203125" customWidth="1"/>
    <col min="15" max="15" width="19.33203125" customWidth="1"/>
    <col min="16" max="16" width="16.33203125" customWidth="1"/>
    <col min="17" max="17" width="11.6640625" customWidth="1"/>
    <col min="18" max="18" width="13.33203125" customWidth="1"/>
    <col min="19" max="19" width="18.44140625" customWidth="1"/>
    <col min="20" max="20" width="21.44140625" customWidth="1"/>
    <col min="21" max="21" width="29.5546875" customWidth="1"/>
    <col min="22" max="22" width="19.6640625" customWidth="1"/>
    <col min="23" max="23" width="19.88671875" customWidth="1"/>
    <col min="24" max="24" width="11.6640625" customWidth="1"/>
    <col min="25" max="25" width="17.6640625" customWidth="1"/>
    <col min="26" max="26" width="29.5546875" customWidth="1"/>
    <col min="27" max="27" width="9.6640625" customWidth="1"/>
    <col min="28" max="28" width="14.5546875" customWidth="1"/>
    <col min="29" max="29" width="26" customWidth="1"/>
    <col min="30" max="30" width="9" customWidth="1"/>
    <col min="31" max="31" width="14.44140625" customWidth="1"/>
    <col min="32" max="32" width="23" customWidth="1"/>
    <col min="33" max="33" width="17.33203125" customWidth="1"/>
    <col min="34" max="34" width="10.88671875" customWidth="1"/>
  </cols>
  <sheetData>
    <row r="1" spans="1:37" ht="43.5" customHeight="1">
      <c r="A1" s="161" t="s">
        <v>1339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78"/>
    </row>
    <row r="2" spans="1:37" ht="13.8">
      <c r="A2" s="162" t="s">
        <v>7</v>
      </c>
      <c r="B2" s="114"/>
      <c r="C2" s="114"/>
      <c r="D2" s="114"/>
      <c r="E2" s="114"/>
      <c r="F2" s="114"/>
      <c r="G2" s="163" t="s">
        <v>1340</v>
      </c>
      <c r="H2" s="114"/>
      <c r="I2" s="114"/>
      <c r="J2" s="114"/>
      <c r="K2" s="114"/>
      <c r="L2" s="114"/>
      <c r="M2" s="114"/>
      <c r="N2" s="114"/>
      <c r="O2" s="164" t="s">
        <v>1341</v>
      </c>
      <c r="P2" s="114"/>
      <c r="Q2" s="114"/>
      <c r="R2" s="114"/>
      <c r="S2" s="114"/>
      <c r="T2" s="114"/>
      <c r="U2" s="114"/>
      <c r="V2" s="165" t="s">
        <v>1342</v>
      </c>
      <c r="W2" s="114"/>
      <c r="X2" s="114"/>
      <c r="Y2" s="114"/>
      <c r="Z2" s="114"/>
      <c r="AA2" s="166" t="s">
        <v>1343</v>
      </c>
      <c r="AB2" s="114"/>
      <c r="AC2" s="114"/>
      <c r="AD2" s="114"/>
      <c r="AE2" s="114"/>
      <c r="AF2" s="114"/>
      <c r="AG2" s="79"/>
      <c r="AH2" s="80"/>
      <c r="AI2" s="81"/>
      <c r="AJ2" s="81"/>
      <c r="AK2" s="81"/>
    </row>
    <row r="3" spans="1:37" ht="13.8">
      <c r="A3" s="1" t="s">
        <v>0</v>
      </c>
      <c r="B3" s="1" t="s">
        <v>1344</v>
      </c>
      <c r="C3" s="1" t="s">
        <v>1345</v>
      </c>
      <c r="D3" s="1" t="s">
        <v>1346</v>
      </c>
      <c r="E3" s="1" t="s">
        <v>1347</v>
      </c>
      <c r="F3" s="1" t="s">
        <v>1348</v>
      </c>
      <c r="G3" s="1" t="s">
        <v>1349</v>
      </c>
      <c r="H3" s="1" t="s">
        <v>1350</v>
      </c>
      <c r="I3" s="1" t="s">
        <v>1351</v>
      </c>
      <c r="J3" s="1" t="s">
        <v>1</v>
      </c>
      <c r="K3" s="1" t="s">
        <v>1352</v>
      </c>
      <c r="L3" s="1" t="s">
        <v>1353</v>
      </c>
      <c r="M3" s="1" t="s">
        <v>1354</v>
      </c>
      <c r="N3" s="1" t="s">
        <v>1355</v>
      </c>
      <c r="O3" s="1" t="s">
        <v>1349</v>
      </c>
      <c r="P3" s="1" t="s">
        <v>1350</v>
      </c>
      <c r="Q3" s="1" t="s">
        <v>1351</v>
      </c>
      <c r="R3" s="1" t="s">
        <v>0</v>
      </c>
      <c r="S3" s="1" t="s">
        <v>1356</v>
      </c>
      <c r="T3" s="1" t="s">
        <v>1</v>
      </c>
      <c r="U3" s="1" t="s">
        <v>1352</v>
      </c>
      <c r="V3" s="1" t="s">
        <v>1349</v>
      </c>
      <c r="W3" s="1" t="s">
        <v>1350</v>
      </c>
      <c r="X3" s="1" t="s">
        <v>1351</v>
      </c>
      <c r="Y3" s="1" t="s">
        <v>1</v>
      </c>
      <c r="Z3" s="1" t="s">
        <v>1352</v>
      </c>
      <c r="AA3" s="1" t="s">
        <v>2</v>
      </c>
      <c r="AB3" s="1" t="s">
        <v>3</v>
      </c>
      <c r="AC3" s="1" t="s">
        <v>4</v>
      </c>
      <c r="AD3" s="1" t="s">
        <v>5</v>
      </c>
      <c r="AE3" s="82" t="s">
        <v>1357</v>
      </c>
      <c r="AF3" s="1" t="s">
        <v>6</v>
      </c>
      <c r="AG3" s="1" t="s">
        <v>1358</v>
      </c>
      <c r="AH3" s="78" t="s">
        <v>1359</v>
      </c>
    </row>
    <row r="4" spans="1:37" ht="13.8">
      <c r="A4" s="1" t="s">
        <v>1038</v>
      </c>
      <c r="B4" s="1" t="s">
        <v>1360</v>
      </c>
      <c r="C4" s="1" t="s">
        <v>676</v>
      </c>
      <c r="G4" s="1" t="s">
        <v>1361</v>
      </c>
      <c r="H4" s="1" t="s">
        <v>1362</v>
      </c>
      <c r="I4" s="1">
        <v>33513827</v>
      </c>
      <c r="J4" s="1" t="s">
        <v>1363</v>
      </c>
      <c r="K4" s="1" t="s">
        <v>1364</v>
      </c>
      <c r="L4" s="1">
        <v>1134938817</v>
      </c>
      <c r="N4" s="1" t="s">
        <v>877</v>
      </c>
      <c r="O4" s="1" t="s">
        <v>1365</v>
      </c>
      <c r="P4" s="1" t="s">
        <v>1362</v>
      </c>
      <c r="Q4" s="1">
        <v>33513827</v>
      </c>
      <c r="R4" s="1">
        <v>33513827</v>
      </c>
      <c r="T4" s="1" t="s">
        <v>1363</v>
      </c>
      <c r="U4" s="1" t="s">
        <v>1366</v>
      </c>
      <c r="V4" s="1" t="s">
        <v>1367</v>
      </c>
      <c r="W4" s="1" t="s">
        <v>1368</v>
      </c>
      <c r="X4" s="1">
        <v>29972669</v>
      </c>
      <c r="Y4" s="1" t="s">
        <v>1369</v>
      </c>
      <c r="Z4" s="1" t="s">
        <v>1370</v>
      </c>
      <c r="AA4" s="1" t="s">
        <v>674</v>
      </c>
      <c r="AB4" s="1" t="s">
        <v>140</v>
      </c>
      <c r="AC4" s="1" t="s">
        <v>913</v>
      </c>
      <c r="AD4" s="1">
        <v>2010</v>
      </c>
      <c r="AE4" s="82">
        <v>40242</v>
      </c>
      <c r="AF4" s="1" t="s">
        <v>500</v>
      </c>
      <c r="AG4" s="1" t="str">
        <f ca="1">IFERROR(__xludf.DUMMYFUNCTION("QUERY(FILTER(Importrange(""1W5sXuVCo-muXq9naQExIQV7xdM6BHYSf-xzYZZUGm78"",""'T.ESCOLAR'!P:P""),Importrange(""1W5sXuVCo-muXq9naQExIQV7xdM6BHYSf-xzYZZUGm78"",""'T.ESCOLAR'!B:B"") =Escolares!A4), ""Select * Limit 10"" , 1)"),"#N/A")</f>
        <v>#N/A</v>
      </c>
      <c r="AH4" s="83">
        <f t="shared" ref="AH4:AH5" ca="1" si="0">DATEDIF(AE4,TODAY(),  "D")</f>
        <v>5915</v>
      </c>
    </row>
    <row r="5" spans="1:37" ht="13.8">
      <c r="A5" s="1" t="s">
        <v>1039</v>
      </c>
      <c r="B5" s="1" t="s">
        <v>1360</v>
      </c>
      <c r="C5" s="1" t="s">
        <v>679</v>
      </c>
      <c r="G5" s="1" t="s">
        <v>1371</v>
      </c>
      <c r="H5" s="1" t="s">
        <v>1372</v>
      </c>
      <c r="I5" s="1">
        <v>16266220</v>
      </c>
      <c r="J5" s="1" t="s">
        <v>1363</v>
      </c>
      <c r="K5" s="1" t="s">
        <v>1364</v>
      </c>
      <c r="L5" s="1">
        <v>1134938817</v>
      </c>
      <c r="N5" s="1" t="s">
        <v>877</v>
      </c>
      <c r="O5" s="1" t="s">
        <v>1373</v>
      </c>
      <c r="P5" s="1" t="s">
        <v>1374</v>
      </c>
      <c r="Q5" s="1">
        <v>30534433</v>
      </c>
      <c r="R5" s="1">
        <v>30534433</v>
      </c>
      <c r="T5" s="1" t="s">
        <v>1375</v>
      </c>
      <c r="U5" s="1" t="s">
        <v>1366</v>
      </c>
      <c r="V5" s="1" t="s">
        <v>1376</v>
      </c>
      <c r="W5" s="1" t="s">
        <v>1377</v>
      </c>
      <c r="X5" s="1">
        <v>31012935</v>
      </c>
      <c r="Y5" s="1" t="s">
        <v>1378</v>
      </c>
      <c r="Z5" s="1" t="s">
        <v>1370</v>
      </c>
      <c r="AA5" s="1" t="s">
        <v>678</v>
      </c>
      <c r="AB5" s="1" t="s">
        <v>140</v>
      </c>
      <c r="AC5" s="1" t="s">
        <v>913</v>
      </c>
      <c r="AD5" s="1">
        <v>2012</v>
      </c>
      <c r="AE5" s="82">
        <v>40994</v>
      </c>
      <c r="AF5" s="1" t="s">
        <v>500</v>
      </c>
      <c r="AG5" s="1" t="str">
        <f ca="1">IFERROR(__xludf.DUMMYFUNCTION("QUERY(FILTER(Importrange(""1W5sXuVCo-muXq9naQExIQV7xdM6BHYSf-xzYZZUGm78"",""'T.ESCOLAR'!P:P""),Importrange(""1W5sXuVCo-muXq9naQExIQV7xdM6BHYSf-xzYZZUGm78"",""'T.ESCOLAR'!B:B"") =Escolares!A5), ""Select * Limit 10"" , 1)"),"#N/A")</f>
        <v>#N/A</v>
      </c>
      <c r="AH5" s="83">
        <f t="shared" ca="1" si="0"/>
        <v>5163</v>
      </c>
    </row>
    <row r="6" spans="1:37" ht="13.8">
      <c r="A6" s="1" t="s">
        <v>1040</v>
      </c>
      <c r="B6" s="1"/>
      <c r="AG6" s="1" t="str">
        <f ca="1">IFERROR(__xludf.DUMMYFUNCTION("QUERY(FILTER(Importrange(""1W5sXuVCo-muXq9naQExIQV7xdM6BHYSf-xzYZZUGm78"",""'T.ESCOLAR'!P:P""),Importrange(""1W5sXuVCo-muXq9naQExIQV7xdM6BHYSf-xzYZZUGm78"",""'T.ESCOLAR'!B:B"") =Escolares!A6), ""Select * Limit 10"" , 1)"),"#N/A")</f>
        <v>#N/A</v>
      </c>
      <c r="AH6" s="83"/>
    </row>
    <row r="7" spans="1:37" ht="13.8">
      <c r="A7" s="1" t="s">
        <v>1041</v>
      </c>
      <c r="B7" s="1"/>
      <c r="AE7" s="82"/>
      <c r="AG7" s="1" t="str">
        <f ca="1">IFERROR(__xludf.DUMMYFUNCTION("QUERY(FILTER(Importrange(""1W5sXuVCo-muXq9naQExIQV7xdM6BHYSf-xzYZZUGm78"",""'T.ESCOLAR'!P:P""),Importrange(""1W5sXuVCo-muXq9naQExIQV7xdM6BHYSf-xzYZZUGm78"",""'T.ESCOLAR'!B:B"") =Escolares!A7), ""Select * Limit 10"" , 1)"),"#N/A")</f>
        <v>#N/A</v>
      </c>
      <c r="AH7" s="83"/>
    </row>
    <row r="8" spans="1:37" ht="13.8">
      <c r="A8" s="1" t="s">
        <v>1042</v>
      </c>
      <c r="B8" s="1" t="s">
        <v>1379</v>
      </c>
      <c r="C8" s="1" t="s">
        <v>1380</v>
      </c>
      <c r="F8" s="84"/>
      <c r="G8" s="1" t="s">
        <v>1381</v>
      </c>
      <c r="H8" s="1" t="s">
        <v>1382</v>
      </c>
      <c r="I8" s="1">
        <v>11460217</v>
      </c>
      <c r="J8" s="1" t="s">
        <v>1383</v>
      </c>
      <c r="K8" s="1" t="s">
        <v>1384</v>
      </c>
      <c r="L8" s="1">
        <v>1134275235</v>
      </c>
      <c r="N8" s="1" t="s">
        <v>1385</v>
      </c>
      <c r="O8" s="1" t="s">
        <v>1386</v>
      </c>
      <c r="P8" s="1" t="s">
        <v>1387</v>
      </c>
      <c r="Q8" s="1">
        <v>24323664</v>
      </c>
      <c r="T8" s="1" t="s">
        <v>1388</v>
      </c>
      <c r="U8" s="1" t="s">
        <v>1389</v>
      </c>
      <c r="V8" s="1" t="s">
        <v>1381</v>
      </c>
      <c r="W8" s="1" t="s">
        <v>1382</v>
      </c>
      <c r="X8" s="1">
        <v>11460217</v>
      </c>
      <c r="Y8" s="1" t="s">
        <v>1383</v>
      </c>
      <c r="Z8" s="1" t="s">
        <v>1384</v>
      </c>
      <c r="AA8" s="1" t="s">
        <v>485</v>
      </c>
      <c r="AB8" s="1" t="s">
        <v>140</v>
      </c>
      <c r="AC8" s="1" t="s">
        <v>486</v>
      </c>
      <c r="AD8" s="1">
        <v>2010</v>
      </c>
      <c r="AE8" s="82">
        <v>40185</v>
      </c>
      <c r="AF8" s="1" t="s">
        <v>487</v>
      </c>
      <c r="AG8" s="1" t="str">
        <f ca="1">IFERROR(__xludf.DUMMYFUNCTION("QUERY(FILTER(Importrange(""1W5sXuVCo-muXq9naQExIQV7xdM6BHYSf-xzYZZUGm78"",""'T.ESCOLAR'!P:P""),Importrange(""1W5sXuVCo-muXq9naQExIQV7xdM6BHYSf-xzYZZUGm78"",""'T.ESCOLAR'!B:B"") =Escolares!A8), ""Select * Limit 10"" , 1)"),"#N/A")</f>
        <v>#N/A</v>
      </c>
      <c r="AH8" s="83">
        <f ca="1">DATEDIF(AE8,TODAY(),  "D")</f>
        <v>5972</v>
      </c>
    </row>
    <row r="9" spans="1:37" ht="13.8">
      <c r="A9" s="1" t="s">
        <v>1043</v>
      </c>
      <c r="B9" s="1"/>
      <c r="AE9" s="82"/>
      <c r="AG9" s="1" t="str">
        <f ca="1">IFERROR(__xludf.DUMMYFUNCTION("QUERY(FILTER(Importrange(""1W5sXuVCo-muXq9naQExIQV7xdM6BHYSf-xzYZZUGm78"",""'T.ESCOLAR'!P:P""),Importrange(""1W5sXuVCo-muXq9naQExIQV7xdM6BHYSf-xzYZZUGm78"",""'T.ESCOLAR'!B:B"") =Escolares!A9), ""Select * Limit 10"" , 1)"),"#N/A")</f>
        <v>#N/A</v>
      </c>
      <c r="AH9" s="83"/>
    </row>
    <row r="10" spans="1:37" ht="13.8">
      <c r="A10" s="1" t="s">
        <v>488</v>
      </c>
      <c r="B10" s="1" t="s">
        <v>1390</v>
      </c>
      <c r="C10" s="1" t="s">
        <v>493</v>
      </c>
      <c r="G10" s="1" t="s">
        <v>1391</v>
      </c>
      <c r="H10" s="1" t="s">
        <v>1392</v>
      </c>
      <c r="I10" s="1">
        <v>37255127</v>
      </c>
      <c r="J10" s="1" t="s">
        <v>1393</v>
      </c>
      <c r="K10" s="1" t="s">
        <v>1394</v>
      </c>
      <c r="L10" s="1">
        <v>42201383</v>
      </c>
      <c r="N10" s="1" t="s">
        <v>1395</v>
      </c>
      <c r="O10" s="1" t="s">
        <v>1396</v>
      </c>
      <c r="P10" s="1" t="s">
        <v>1397</v>
      </c>
      <c r="Q10" s="1">
        <v>10492144</v>
      </c>
      <c r="R10" s="1">
        <v>10492144</v>
      </c>
      <c r="S10" s="84">
        <v>45023</v>
      </c>
      <c r="T10" s="1" t="s">
        <v>1393</v>
      </c>
      <c r="U10" s="1" t="s">
        <v>1394</v>
      </c>
      <c r="V10" s="1" t="s">
        <v>1391</v>
      </c>
      <c r="W10" s="1" t="s">
        <v>1392</v>
      </c>
      <c r="X10" s="1">
        <v>37255127</v>
      </c>
      <c r="Y10" s="1" t="s">
        <v>1393</v>
      </c>
      <c r="Z10" s="1" t="s">
        <v>1394</v>
      </c>
      <c r="AA10" s="1" t="s">
        <v>489</v>
      </c>
      <c r="AB10" s="1" t="s">
        <v>490</v>
      </c>
      <c r="AC10" s="1" t="s">
        <v>491</v>
      </c>
      <c r="AD10" s="1">
        <v>2000</v>
      </c>
      <c r="AE10" s="82">
        <v>36781</v>
      </c>
      <c r="AF10" s="1" t="s">
        <v>492</v>
      </c>
      <c r="AG10" s="1" t="str">
        <f ca="1">IFERROR(__xludf.DUMMYFUNCTION("QUERY(FILTER(Importrange(""1W5sXuVCo-muXq9naQExIQV7xdM6BHYSf-xzYZZUGm78"",""'T.ESCOLAR'!P:P""),Importrange(""1W5sXuVCo-muXq9naQExIQV7xdM6BHYSf-xzYZZUGm78"",""'T.ESCOLAR'!B:B"") =Escolares!A10), ""Select * Limit 10"" , 1)"),"APROBADO")</f>
        <v>APROBADO</v>
      </c>
      <c r="AH10" s="83">
        <f ca="1">DATEDIF(AE10,TODAY(),  "D")</f>
        <v>9376</v>
      </c>
    </row>
    <row r="11" spans="1:37" ht="13.8">
      <c r="A11" s="1" t="s">
        <v>1044</v>
      </c>
      <c r="B11" s="1" t="s">
        <v>1360</v>
      </c>
      <c r="C11" s="1" t="s">
        <v>778</v>
      </c>
      <c r="G11" s="1" t="s">
        <v>1398</v>
      </c>
      <c r="H11" s="1" t="s">
        <v>1399</v>
      </c>
      <c r="I11" s="1">
        <v>7373876</v>
      </c>
      <c r="J11" s="1" t="s">
        <v>1400</v>
      </c>
      <c r="K11" s="1" t="s">
        <v>1401</v>
      </c>
      <c r="L11" s="1">
        <v>42092129</v>
      </c>
      <c r="N11" s="1" t="s">
        <v>1402</v>
      </c>
      <c r="O11" s="1" t="s">
        <v>1403</v>
      </c>
      <c r="P11" s="1" t="s">
        <v>1404</v>
      </c>
      <c r="Q11" s="1">
        <v>17833207</v>
      </c>
      <c r="R11" s="1">
        <v>17833207</v>
      </c>
      <c r="T11" s="1" t="s">
        <v>1405</v>
      </c>
      <c r="U11" s="1" t="s">
        <v>1406</v>
      </c>
      <c r="V11" s="1" t="s">
        <v>1407</v>
      </c>
      <c r="W11" s="1" t="s">
        <v>1408</v>
      </c>
      <c r="X11" s="1">
        <v>5307088</v>
      </c>
      <c r="Y11" s="1" t="s">
        <v>1400</v>
      </c>
      <c r="Z11" s="1" t="s">
        <v>1406</v>
      </c>
      <c r="AA11" s="1" t="s">
        <v>777</v>
      </c>
      <c r="AB11" s="1" t="s">
        <v>504</v>
      </c>
      <c r="AC11" s="1" t="s">
        <v>505</v>
      </c>
      <c r="AD11" s="1">
        <v>2006</v>
      </c>
      <c r="AE11" s="82">
        <v>38961</v>
      </c>
      <c r="AF11" s="1" t="s">
        <v>487</v>
      </c>
      <c r="AG11" s="1" t="str">
        <f ca="1">IFERROR(__xludf.DUMMYFUNCTION("QUERY(FILTER(Importrange(""1W5sXuVCo-muXq9naQExIQV7xdM6BHYSf-xzYZZUGm78"",""'T.ESCOLAR'!P:P""),Importrange(""1W5sXuVCo-muXq9naQExIQV7xdM6BHYSf-xzYZZUGm78"",""'T.ESCOLAR'!B:B"") =Escolares!A11), ""Select * Limit 10"" , 1)"),"#N/A")</f>
        <v>#N/A</v>
      </c>
      <c r="AH11" s="83"/>
    </row>
    <row r="12" spans="1:37" ht="13.8">
      <c r="A12" s="1" t="s">
        <v>1045</v>
      </c>
      <c r="B12" s="1" t="s">
        <v>1379</v>
      </c>
      <c r="C12" s="1" t="s">
        <v>823</v>
      </c>
      <c r="G12" s="1" t="s">
        <v>1409</v>
      </c>
      <c r="H12" s="1" t="s">
        <v>1410</v>
      </c>
      <c r="I12" s="1">
        <v>92512468</v>
      </c>
      <c r="J12" s="1" t="s">
        <v>1411</v>
      </c>
      <c r="K12" s="85" t="s">
        <v>1412</v>
      </c>
      <c r="L12" s="1">
        <v>1149407834</v>
      </c>
      <c r="N12" s="1" t="s">
        <v>1413</v>
      </c>
      <c r="O12" s="1" t="s">
        <v>1414</v>
      </c>
      <c r="P12" s="1" t="s">
        <v>1415</v>
      </c>
      <c r="Q12" s="1">
        <v>11803869</v>
      </c>
      <c r="R12" s="1">
        <v>11803869</v>
      </c>
      <c r="T12" s="1" t="s">
        <v>1411</v>
      </c>
      <c r="U12" s="85" t="s">
        <v>1412</v>
      </c>
      <c r="V12" s="1" t="s">
        <v>1409</v>
      </c>
      <c r="W12" s="1" t="s">
        <v>1410</v>
      </c>
      <c r="X12" s="1">
        <v>92512468</v>
      </c>
      <c r="Y12" s="1" t="s">
        <v>1411</v>
      </c>
      <c r="Z12" s="85" t="s">
        <v>1412</v>
      </c>
      <c r="AA12" s="1" t="s">
        <v>495</v>
      </c>
      <c r="AB12" s="1" t="s">
        <v>140</v>
      </c>
      <c r="AC12" s="1" t="s">
        <v>496</v>
      </c>
      <c r="AD12" s="1">
        <v>2009</v>
      </c>
      <c r="AE12" s="82">
        <v>39996</v>
      </c>
      <c r="AF12" s="1" t="s">
        <v>487</v>
      </c>
      <c r="AG12" s="1" t="str">
        <f ca="1">IFERROR(__xludf.DUMMYFUNCTION("QUERY(FILTER(Importrange(""1W5sXuVCo-muXq9naQExIQV7xdM6BHYSf-xzYZZUGm78"",""'T.ESCOLAR'!P:P""),Importrange(""1W5sXuVCo-muXq9naQExIQV7xdM6BHYSf-xzYZZUGm78"",""'T.ESCOLAR'!B:B"") =Escolares!A12), ""Select * Limit 10"" , 1)"),"#N/A")</f>
        <v>#N/A</v>
      </c>
      <c r="AH12" s="83">
        <f t="shared" ref="AH12:AH13" ca="1" si="1">DATEDIF(AE12,TODAY(),  "D")</f>
        <v>6161</v>
      </c>
    </row>
    <row r="13" spans="1:37" ht="13.8">
      <c r="A13" s="1" t="s">
        <v>1046</v>
      </c>
      <c r="B13" s="1" t="s">
        <v>1379</v>
      </c>
      <c r="C13" s="1" t="s">
        <v>1416</v>
      </c>
      <c r="G13" s="1" t="s">
        <v>1417</v>
      </c>
      <c r="H13" s="1" t="s">
        <v>1417</v>
      </c>
      <c r="I13" s="1" t="s">
        <v>1418</v>
      </c>
      <c r="J13" s="1" t="s">
        <v>1419</v>
      </c>
      <c r="K13" s="1" t="s">
        <v>1420</v>
      </c>
      <c r="L13" s="1">
        <v>1558365467</v>
      </c>
      <c r="N13" s="1" t="s">
        <v>1421</v>
      </c>
      <c r="O13" s="1" t="s">
        <v>1422</v>
      </c>
      <c r="P13" s="1" t="s">
        <v>1423</v>
      </c>
      <c r="Q13" s="1">
        <v>28837034</v>
      </c>
      <c r="R13" s="1">
        <v>28837034</v>
      </c>
      <c r="S13" s="84">
        <v>45424</v>
      </c>
      <c r="T13" s="1" t="s">
        <v>1424</v>
      </c>
      <c r="U13" s="1" t="s">
        <v>1401</v>
      </c>
      <c r="V13" s="1" t="s">
        <v>1425</v>
      </c>
      <c r="W13" s="1" t="s">
        <v>1426</v>
      </c>
      <c r="X13" s="1">
        <v>44969296</v>
      </c>
      <c r="Y13" s="1" t="s">
        <v>1427</v>
      </c>
      <c r="Z13" s="1" t="s">
        <v>1428</v>
      </c>
      <c r="AA13" s="1" t="s">
        <v>498</v>
      </c>
      <c r="AB13" s="1" t="s">
        <v>140</v>
      </c>
      <c r="AC13" s="1" t="s">
        <v>675</v>
      </c>
      <c r="AD13" s="1">
        <v>2011</v>
      </c>
      <c r="AE13" s="82">
        <v>40557</v>
      </c>
      <c r="AF13" s="1" t="s">
        <v>500</v>
      </c>
      <c r="AG13" s="1" t="str">
        <f ca="1">IFERROR(__xludf.DUMMYFUNCTION("QUERY(FILTER(Importrange(""1W5sXuVCo-muXq9naQExIQV7xdM6BHYSf-xzYZZUGm78"",""'T.ESCOLAR'!P:P""),Importrange(""1W5sXuVCo-muXq9naQExIQV7xdM6BHYSf-xzYZZUGm78"",""'T.ESCOLAR'!B:B"") =Escolares!A13), ""Select * Limit 10"" , 1)"),"#N/A")</f>
        <v>#N/A</v>
      </c>
      <c r="AH13" s="83">
        <f t="shared" ca="1" si="1"/>
        <v>5600</v>
      </c>
    </row>
    <row r="14" spans="1:37" ht="13.8">
      <c r="A14" s="1" t="s">
        <v>501</v>
      </c>
      <c r="B14" s="1"/>
      <c r="AE14" s="82"/>
      <c r="AG14" s="1" t="str">
        <f ca="1">IFERROR(__xludf.DUMMYFUNCTION("QUERY(FILTER(Importrange(""1W5sXuVCo-muXq9naQExIQV7xdM6BHYSf-xzYZZUGm78"",""'T.ESCOLAR'!P:P""),Importrange(""1W5sXuVCo-muXq9naQExIQV7xdM6BHYSf-xzYZZUGm78"",""'T.ESCOLAR'!B:B"") =Escolares!A14), ""Select * Limit 10"" , 1)"),"APROBADO")</f>
        <v>APROBADO</v>
      </c>
      <c r="AH14" s="83"/>
    </row>
    <row r="15" spans="1:37" ht="13.8">
      <c r="A15" s="1" t="s">
        <v>502</v>
      </c>
      <c r="B15" s="1" t="s">
        <v>1360</v>
      </c>
      <c r="C15" s="1" t="s">
        <v>1429</v>
      </c>
      <c r="G15" s="1" t="s">
        <v>1430</v>
      </c>
      <c r="H15" s="1" t="s">
        <v>1431</v>
      </c>
      <c r="I15" s="1">
        <v>93609526</v>
      </c>
      <c r="J15" s="1" t="s">
        <v>1432</v>
      </c>
      <c r="K15" s="1" t="s">
        <v>1420</v>
      </c>
      <c r="L15" s="1">
        <v>1553024811</v>
      </c>
      <c r="N15" s="1" t="s">
        <v>1433</v>
      </c>
      <c r="O15" s="1" t="s">
        <v>1430</v>
      </c>
      <c r="P15" s="1" t="s">
        <v>1431</v>
      </c>
      <c r="Q15" s="1">
        <v>93609526</v>
      </c>
      <c r="R15" s="1">
        <v>93609526</v>
      </c>
      <c r="T15" s="1" t="s">
        <v>1432</v>
      </c>
      <c r="U15" s="1" t="s">
        <v>1420</v>
      </c>
      <c r="V15" s="1" t="s">
        <v>1434</v>
      </c>
      <c r="W15" s="1" t="s">
        <v>1382</v>
      </c>
      <c r="X15" s="1">
        <v>17408588</v>
      </c>
      <c r="Y15" s="1" t="s">
        <v>1432</v>
      </c>
      <c r="Z15" s="1" t="s">
        <v>1420</v>
      </c>
      <c r="AA15" s="1" t="s">
        <v>503</v>
      </c>
      <c r="AB15" s="1" t="s">
        <v>504</v>
      </c>
      <c r="AC15" s="1" t="s">
        <v>505</v>
      </c>
      <c r="AD15" s="1">
        <v>2008</v>
      </c>
      <c r="AE15" s="82">
        <v>39451</v>
      </c>
      <c r="AF15" s="1" t="s">
        <v>492</v>
      </c>
      <c r="AG15" s="1" t="str">
        <f ca="1">IFERROR(__xludf.DUMMYFUNCTION("QUERY(FILTER(Importrange(""1W5sXuVCo-muXq9naQExIQV7xdM6BHYSf-xzYZZUGm78"",""'T.ESCOLAR'!P:P""),Importrange(""1W5sXuVCo-muXq9naQExIQV7xdM6BHYSf-xzYZZUGm78"",""'T.ESCOLAR'!B:B"") =Escolares!A15), ""Select * Limit 10"" , 1)"),"APROBADO")</f>
        <v>APROBADO</v>
      </c>
      <c r="AH15" s="83">
        <f ca="1">DATEDIF(AE15,TODAY(),  "D")</f>
        <v>6706</v>
      </c>
    </row>
    <row r="16" spans="1:37" ht="13.8">
      <c r="A16" s="1" t="s">
        <v>1047</v>
      </c>
      <c r="B16" s="1" t="s">
        <v>1360</v>
      </c>
      <c r="C16" s="1" t="s">
        <v>783</v>
      </c>
      <c r="G16" s="1" t="s">
        <v>1435</v>
      </c>
      <c r="H16" s="1" t="s">
        <v>1436</v>
      </c>
      <c r="I16" s="1">
        <v>22498189</v>
      </c>
      <c r="J16" s="1" t="s">
        <v>1437</v>
      </c>
      <c r="K16" s="1" t="s">
        <v>1394</v>
      </c>
      <c r="L16" s="1">
        <v>1150517745</v>
      </c>
      <c r="N16" s="1" t="s">
        <v>1438</v>
      </c>
      <c r="O16" s="1" t="s">
        <v>1435</v>
      </c>
      <c r="P16" s="1" t="s">
        <v>1436</v>
      </c>
      <c r="Q16" s="1">
        <v>22498189</v>
      </c>
      <c r="R16" s="1">
        <v>22498189</v>
      </c>
      <c r="T16" s="1" t="s">
        <v>1437</v>
      </c>
      <c r="U16" s="1" t="s">
        <v>1394</v>
      </c>
      <c r="V16" s="1" t="s">
        <v>1435</v>
      </c>
      <c r="W16" s="1" t="s">
        <v>1439</v>
      </c>
      <c r="X16" s="1">
        <v>44599505</v>
      </c>
      <c r="Y16" s="1" t="s">
        <v>1437</v>
      </c>
      <c r="Z16" s="1" t="s">
        <v>1394</v>
      </c>
      <c r="AA16" s="1" t="s">
        <v>782</v>
      </c>
      <c r="AB16" s="1" t="s">
        <v>140</v>
      </c>
      <c r="AC16" s="1" t="s">
        <v>532</v>
      </c>
      <c r="AD16" s="1">
        <v>2011</v>
      </c>
      <c r="AE16" s="82">
        <v>40700</v>
      </c>
      <c r="AF16" s="1" t="s">
        <v>558</v>
      </c>
      <c r="AG16" s="1" t="str">
        <f ca="1">IFERROR(__xludf.DUMMYFUNCTION("QUERY(FILTER(Importrange(""1W5sXuVCo-muXq9naQExIQV7xdM6BHYSf-xzYZZUGm78"",""'T.ESCOLAR'!P:P""),Importrange(""1W5sXuVCo-muXq9naQExIQV7xdM6BHYSf-xzYZZUGm78"",""'T.ESCOLAR'!B:B"") =Escolares!A16), ""Select * Limit 10"" , 1)"),"#N/A")</f>
        <v>#N/A</v>
      </c>
      <c r="AH16" s="83"/>
    </row>
    <row r="17" spans="1:34" ht="13.8">
      <c r="A17" s="1" t="s">
        <v>1048</v>
      </c>
      <c r="B17" s="1"/>
      <c r="AE17" s="82"/>
      <c r="AG17" s="1" t="str">
        <f ca="1">IFERROR(__xludf.DUMMYFUNCTION("QUERY(FILTER(Importrange(""1W5sXuVCo-muXq9naQExIQV7xdM6BHYSf-xzYZZUGm78"",""'T.ESCOLAR'!P:P""),Importrange(""1W5sXuVCo-muXq9naQExIQV7xdM6BHYSf-xzYZZUGm78"",""'T.ESCOLAR'!B:B"") =Escolares!A17), ""Select * Limit 10"" , 1)"),"#N/A")</f>
        <v>#N/A</v>
      </c>
      <c r="AH17" s="83"/>
    </row>
    <row r="18" spans="1:34" ht="13.8">
      <c r="A18" s="1" t="s">
        <v>1049</v>
      </c>
      <c r="B18" s="1"/>
      <c r="AE18" s="82"/>
      <c r="AG18" s="1" t="str">
        <f ca="1">IFERROR(__xludf.DUMMYFUNCTION("QUERY(FILTER(Importrange(""1W5sXuVCo-muXq9naQExIQV7xdM6BHYSf-xzYZZUGm78"",""'T.ESCOLAR'!P:P""),Importrange(""1W5sXuVCo-muXq9naQExIQV7xdM6BHYSf-xzYZZUGm78"",""'T.ESCOLAR'!B:B"") =Escolares!A18), ""Select * Limit 10"" , 1)"),"#N/A")</f>
        <v>#N/A</v>
      </c>
      <c r="AH18" s="83"/>
    </row>
    <row r="19" spans="1:34" ht="13.8">
      <c r="A19" s="1" t="s">
        <v>1050</v>
      </c>
      <c r="B19" s="1"/>
      <c r="AE19" s="82"/>
      <c r="AG19" s="1" t="str">
        <f ca="1">IFERROR(__xludf.DUMMYFUNCTION("QUERY(FILTER(Importrange(""1W5sXuVCo-muXq9naQExIQV7xdM6BHYSf-xzYZZUGm78"",""'T.ESCOLAR'!P:P""),Importrange(""1W5sXuVCo-muXq9naQExIQV7xdM6BHYSf-xzYZZUGm78"",""'T.ESCOLAR'!B:B"") =Escolares!A19), ""Select * Limit 10"" , 1)"),"#N/A")</f>
        <v>#N/A</v>
      </c>
      <c r="AH19" s="83"/>
    </row>
    <row r="20" spans="1:34" ht="13.8">
      <c r="A20" s="1" t="s">
        <v>1051</v>
      </c>
      <c r="B20" s="1" t="s">
        <v>1379</v>
      </c>
      <c r="C20" s="1" t="s">
        <v>681</v>
      </c>
      <c r="G20" s="1" t="s">
        <v>1440</v>
      </c>
      <c r="H20" s="1" t="s">
        <v>1441</v>
      </c>
      <c r="I20" s="1">
        <v>21836711</v>
      </c>
      <c r="J20" s="12" t="s">
        <v>1442</v>
      </c>
      <c r="K20" s="1" t="s">
        <v>1401</v>
      </c>
      <c r="L20" s="1">
        <v>1141759633</v>
      </c>
      <c r="N20" s="1" t="s">
        <v>1443</v>
      </c>
      <c r="O20" s="1" t="s">
        <v>1440</v>
      </c>
      <c r="P20" s="1" t="s">
        <v>1441</v>
      </c>
      <c r="Q20" s="1">
        <v>21836711</v>
      </c>
      <c r="R20" s="1">
        <v>21836711</v>
      </c>
      <c r="S20" s="82">
        <v>44883</v>
      </c>
      <c r="T20" s="1" t="s">
        <v>1444</v>
      </c>
      <c r="U20" s="1" t="s">
        <v>1401</v>
      </c>
      <c r="V20" s="1" t="s">
        <v>1445</v>
      </c>
      <c r="W20" s="1" t="s">
        <v>1446</v>
      </c>
      <c r="X20" s="1">
        <v>8437356</v>
      </c>
      <c r="Y20" s="1" t="s">
        <v>1447</v>
      </c>
      <c r="Z20" s="1" t="s">
        <v>1401</v>
      </c>
      <c r="AA20" s="1" t="s">
        <v>630</v>
      </c>
      <c r="AB20" s="1" t="s">
        <v>140</v>
      </c>
      <c r="AC20" s="12" t="s">
        <v>631</v>
      </c>
      <c r="AD20" s="1">
        <v>1997</v>
      </c>
      <c r="AE20" s="82">
        <v>35803</v>
      </c>
      <c r="AF20" s="1" t="s">
        <v>632</v>
      </c>
      <c r="AG20" s="1" t="str">
        <f ca="1">IFERROR(__xludf.DUMMYFUNCTION("QUERY(FILTER(Importrange(""1W5sXuVCo-muXq9naQExIQV7xdM6BHYSf-xzYZZUGm78"",""'T.ESCOLAR'!P:P""),Importrange(""1W5sXuVCo-muXq9naQExIQV7xdM6BHYSf-xzYZZUGm78"",""'T.ESCOLAR'!B:B"") =Escolares!A20), ""Select * Limit 10"" , 1)"),"#N/A")</f>
        <v>#N/A</v>
      </c>
      <c r="AH20" s="83">
        <f ca="1">DATEDIF(AE20,TODAY(),  "D")</f>
        <v>10354</v>
      </c>
    </row>
    <row r="21" spans="1:34" ht="13.8">
      <c r="A21" s="1" t="s">
        <v>1052</v>
      </c>
      <c r="B21" s="1"/>
      <c r="AE21" s="82"/>
      <c r="AG21" s="1" t="str">
        <f ca="1">IFERROR(__xludf.DUMMYFUNCTION("QUERY(FILTER(Importrange(""1W5sXuVCo-muXq9naQExIQV7xdM6BHYSf-xzYZZUGm78"",""'T.ESCOLAR'!P:P""),Importrange(""1W5sXuVCo-muXq9naQExIQV7xdM6BHYSf-xzYZZUGm78"",""'T.ESCOLAR'!B:B"") =Escolares!A21), ""Select * Limit 10"" , 1)"),"#N/A")</f>
        <v>#N/A</v>
      </c>
      <c r="AH21" s="83"/>
    </row>
    <row r="22" spans="1:34" ht="13.8">
      <c r="A22" s="1" t="s">
        <v>1053</v>
      </c>
      <c r="B22" s="1" t="s">
        <v>1379</v>
      </c>
      <c r="G22" s="1" t="s">
        <v>1448</v>
      </c>
      <c r="H22" s="1" t="s">
        <v>1449</v>
      </c>
      <c r="I22" s="1">
        <v>12338321</v>
      </c>
      <c r="J22" s="1" t="s">
        <v>1450</v>
      </c>
      <c r="K22" s="1" t="s">
        <v>1401</v>
      </c>
      <c r="L22" s="1">
        <v>1165069939</v>
      </c>
      <c r="N22" s="1" t="s">
        <v>1030</v>
      </c>
      <c r="O22" s="1" t="s">
        <v>1451</v>
      </c>
      <c r="P22" s="1" t="s">
        <v>1452</v>
      </c>
      <c r="Q22" s="1">
        <v>33010179</v>
      </c>
      <c r="AE22" s="82"/>
      <c r="AG22" s="1" t="str">
        <f ca="1">IFERROR(__xludf.DUMMYFUNCTION("QUERY(FILTER(Importrange(""1W5sXuVCo-muXq9naQExIQV7xdM6BHYSf-xzYZZUGm78"",""'T.ESCOLAR'!P:P""),Importrange(""1W5sXuVCo-muXq9naQExIQV7xdM6BHYSf-xzYZZUGm78"",""'T.ESCOLAR'!B:B"") =Escolares!A22), ""Select * Limit 10"" , 1)"),"#N/A")</f>
        <v>#N/A</v>
      </c>
      <c r="AH22" s="83"/>
    </row>
    <row r="23" spans="1:34" ht="13.8">
      <c r="A23" s="1" t="s">
        <v>1054</v>
      </c>
      <c r="B23" s="1" t="s">
        <v>1379</v>
      </c>
      <c r="C23" s="1" t="s">
        <v>1453</v>
      </c>
      <c r="F23" s="84">
        <v>45079</v>
      </c>
      <c r="G23" s="1" t="s">
        <v>1454</v>
      </c>
      <c r="H23" s="1" t="s">
        <v>1455</v>
      </c>
      <c r="I23" s="1">
        <v>17586302</v>
      </c>
      <c r="J23" s="1" t="s">
        <v>1456</v>
      </c>
      <c r="K23" s="1" t="s">
        <v>1457</v>
      </c>
      <c r="L23" s="1">
        <v>42985743</v>
      </c>
      <c r="N23" s="1" t="s">
        <v>1458</v>
      </c>
      <c r="O23" s="1" t="s">
        <v>1454</v>
      </c>
      <c r="P23" s="1" t="s">
        <v>1455</v>
      </c>
      <c r="Q23" s="1">
        <v>17586302</v>
      </c>
      <c r="R23" s="1">
        <v>17586302</v>
      </c>
      <c r="S23" s="82">
        <v>44155</v>
      </c>
      <c r="T23" s="1" t="s">
        <v>1456</v>
      </c>
      <c r="U23" s="1" t="s">
        <v>1459</v>
      </c>
      <c r="V23" s="1" t="s">
        <v>1460</v>
      </c>
      <c r="W23" s="1" t="s">
        <v>1461</v>
      </c>
      <c r="X23" s="1">
        <v>21913876</v>
      </c>
      <c r="Y23" s="1" t="s">
        <v>1462</v>
      </c>
      <c r="Z23" s="1" t="s">
        <v>1463</v>
      </c>
      <c r="AA23" s="1" t="s">
        <v>508</v>
      </c>
      <c r="AB23" s="1" t="s">
        <v>140</v>
      </c>
      <c r="AC23" s="1" t="s">
        <v>546</v>
      </c>
      <c r="AD23" s="1">
        <v>2008</v>
      </c>
      <c r="AE23" s="82">
        <v>39454</v>
      </c>
      <c r="AF23" s="1" t="s">
        <v>513</v>
      </c>
      <c r="AG23" s="1" t="str">
        <f ca="1">IFERROR(__xludf.DUMMYFUNCTION("QUERY(FILTER(Importrange(""1W5sXuVCo-muXq9naQExIQV7xdM6BHYSf-xzYZZUGm78"",""'T.ESCOLAR'!P:P""),Importrange(""1W5sXuVCo-muXq9naQExIQV7xdM6BHYSf-xzYZZUGm78"",""'T.ESCOLAR'!B:B"") =Escolares!A23), ""Select * Limit 10"" , 1)"),"#N/A")</f>
        <v>#N/A</v>
      </c>
      <c r="AH23" s="83">
        <f ca="1">DATEDIF(AE23,TODAY(),  "D")</f>
        <v>6703</v>
      </c>
    </row>
    <row r="24" spans="1:34" ht="13.8">
      <c r="A24" s="1" t="s">
        <v>1055</v>
      </c>
      <c r="B24" s="1"/>
      <c r="AE24" s="82"/>
      <c r="AG24" s="1" t="str">
        <f ca="1">IFERROR(__xludf.DUMMYFUNCTION("QUERY(FILTER(Importrange(""1W5sXuVCo-muXq9naQExIQV7xdM6BHYSf-xzYZZUGm78"",""'T.ESCOLAR'!P:P""),Importrange(""1W5sXuVCo-muXq9naQExIQV7xdM6BHYSf-xzYZZUGm78"",""'T.ESCOLAR'!B:B"") =Escolares!A24), ""Select * Limit 10"" , 1)"),"#N/A")</f>
        <v>#N/A</v>
      </c>
      <c r="AH24" s="83"/>
    </row>
    <row r="25" spans="1:34" ht="13.8">
      <c r="A25" s="1" t="s">
        <v>1056</v>
      </c>
      <c r="B25" s="1" t="s">
        <v>1379</v>
      </c>
      <c r="C25" s="12" t="s">
        <v>701</v>
      </c>
      <c r="G25" s="1" t="s">
        <v>1464</v>
      </c>
      <c r="H25" s="1" t="s">
        <v>1465</v>
      </c>
      <c r="I25" s="1">
        <v>92213616</v>
      </c>
      <c r="J25" s="1" t="s">
        <v>1466</v>
      </c>
      <c r="K25" s="1" t="s">
        <v>1401</v>
      </c>
      <c r="L25" s="1">
        <v>1162109970</v>
      </c>
      <c r="N25" s="1" t="s">
        <v>1467</v>
      </c>
      <c r="O25" s="6" t="s">
        <v>1468</v>
      </c>
      <c r="P25" s="1" t="s">
        <v>1469</v>
      </c>
      <c r="Q25" s="86">
        <v>22498294</v>
      </c>
      <c r="R25" s="86">
        <v>22498294</v>
      </c>
      <c r="S25" s="84">
        <v>45063</v>
      </c>
      <c r="T25" s="1" t="s">
        <v>1470</v>
      </c>
      <c r="U25" s="1" t="s">
        <v>1401</v>
      </c>
      <c r="V25" s="1" t="s">
        <v>1464</v>
      </c>
      <c r="W25" s="1" t="s">
        <v>1465</v>
      </c>
      <c r="X25" s="1">
        <v>92213616</v>
      </c>
      <c r="Y25" s="1" t="s">
        <v>1466</v>
      </c>
      <c r="Z25" s="1" t="s">
        <v>1401</v>
      </c>
      <c r="AA25" s="1" t="s">
        <v>511</v>
      </c>
      <c r="AB25" s="1" t="s">
        <v>140</v>
      </c>
      <c r="AC25" s="1" t="s">
        <v>512</v>
      </c>
      <c r="AD25" s="1">
        <v>2006</v>
      </c>
      <c r="AE25" s="82">
        <v>38866</v>
      </c>
      <c r="AF25" s="1" t="s">
        <v>513</v>
      </c>
      <c r="AG25" s="1" t="str">
        <f ca="1">IFERROR(__xludf.DUMMYFUNCTION("QUERY(FILTER(Importrange(""1W5sXuVCo-muXq9naQExIQV7xdM6BHYSf-xzYZZUGm78"",""'T.ESCOLAR'!P:P""),Importrange(""1W5sXuVCo-muXq9naQExIQV7xdM6BHYSf-xzYZZUGm78"",""'T.ESCOLAR'!B:B"") =Escolares!A25), ""Select * Limit 10"" , 1)"),"#N/A")</f>
        <v>#N/A</v>
      </c>
      <c r="AH25" s="83">
        <f ca="1">DATEDIF(AE25,TODAY(),  "D")</f>
        <v>7291</v>
      </c>
    </row>
    <row r="26" spans="1:34" ht="13.8">
      <c r="A26" s="1" t="s">
        <v>1057</v>
      </c>
      <c r="B26" s="1"/>
      <c r="AE26" s="82"/>
      <c r="AG26" s="1" t="str">
        <f ca="1">IFERROR(__xludf.DUMMYFUNCTION("QUERY(FILTER(Importrange(""1W5sXuVCo-muXq9naQExIQV7xdM6BHYSf-xzYZZUGm78"",""'T.ESCOLAR'!P:P""),Importrange(""1W5sXuVCo-muXq9naQExIQV7xdM6BHYSf-xzYZZUGm78"",""'T.ESCOLAR'!B:B"") =Escolares!A26), ""Select * Limit 10"" , 1)"),"#N/A")</f>
        <v>#N/A</v>
      </c>
      <c r="AH26" s="83"/>
    </row>
    <row r="27" spans="1:34" ht="13.8">
      <c r="A27" s="1" t="s">
        <v>514</v>
      </c>
      <c r="B27" s="1" t="s">
        <v>1360</v>
      </c>
      <c r="C27" s="1" t="s">
        <v>1471</v>
      </c>
      <c r="G27" s="1" t="s">
        <v>1472</v>
      </c>
      <c r="H27" s="1" t="s">
        <v>1473</v>
      </c>
      <c r="I27" s="1">
        <v>32441700</v>
      </c>
      <c r="J27" s="4" t="s">
        <v>1474</v>
      </c>
      <c r="K27" s="1" t="s">
        <v>1475</v>
      </c>
      <c r="L27" s="1">
        <v>1132532981</v>
      </c>
      <c r="N27" s="1" t="s">
        <v>1476</v>
      </c>
      <c r="O27" s="1" t="s">
        <v>1477</v>
      </c>
      <c r="P27" s="1" t="s">
        <v>1478</v>
      </c>
      <c r="Q27" s="1">
        <v>14557015</v>
      </c>
      <c r="R27" s="1">
        <v>14557015</v>
      </c>
      <c r="S27" s="84">
        <v>44783</v>
      </c>
      <c r="T27" s="1" t="s">
        <v>1479</v>
      </c>
      <c r="U27" s="1" t="s">
        <v>1480</v>
      </c>
      <c r="V27" s="1" t="s">
        <v>1481</v>
      </c>
      <c r="W27" s="1" t="s">
        <v>1482</v>
      </c>
      <c r="X27" s="1">
        <v>35948347</v>
      </c>
      <c r="Y27" s="1" t="s">
        <v>1483</v>
      </c>
      <c r="Z27" s="1" t="s">
        <v>1364</v>
      </c>
      <c r="AA27" s="1" t="s">
        <v>516</v>
      </c>
      <c r="AB27" s="1" t="s">
        <v>140</v>
      </c>
      <c r="AC27" s="1" t="s">
        <v>517</v>
      </c>
      <c r="AD27" s="1">
        <v>2011</v>
      </c>
      <c r="AE27" s="82">
        <v>40757</v>
      </c>
      <c r="AF27" s="1" t="s">
        <v>487</v>
      </c>
      <c r="AG27" s="1" t="str">
        <f ca="1">IFERROR(__xludf.DUMMYFUNCTION("QUERY(FILTER(Importrange(""1W5sXuVCo-muXq9naQExIQV7xdM6BHYSf-xzYZZUGm78"",""'T.ESCOLAR'!P:P""),Importrange(""1W5sXuVCo-muXq9naQExIQV7xdM6BHYSf-xzYZZUGm78"",""'T.ESCOLAR'!B:B"") =Escolares!A27), ""Select * Limit 10"" , 1)"),"APROBADO")</f>
        <v>APROBADO</v>
      </c>
      <c r="AH27" s="83">
        <f t="shared" ref="AH27:AH28" ca="1" si="2">DATEDIF(AE27,TODAY(),  "D")</f>
        <v>5400</v>
      </c>
    </row>
    <row r="28" spans="1:34" ht="13.8">
      <c r="A28" s="1" t="s">
        <v>1058</v>
      </c>
      <c r="B28" s="1" t="s">
        <v>1379</v>
      </c>
      <c r="C28" s="1" t="s">
        <v>1484</v>
      </c>
      <c r="F28" s="84"/>
      <c r="G28" s="1" t="s">
        <v>1485</v>
      </c>
      <c r="H28" s="1" t="s">
        <v>1486</v>
      </c>
      <c r="I28" s="1">
        <v>20964650</v>
      </c>
      <c r="J28" s="1" t="s">
        <v>1487</v>
      </c>
      <c r="K28" s="1" t="s">
        <v>1488</v>
      </c>
      <c r="L28" s="1">
        <v>1159388414</v>
      </c>
      <c r="N28" s="1" t="s">
        <v>1489</v>
      </c>
      <c r="O28" s="1" t="s">
        <v>1485</v>
      </c>
      <c r="P28" s="1" t="s">
        <v>1486</v>
      </c>
      <c r="Q28" s="1">
        <v>20964650</v>
      </c>
      <c r="R28" s="1">
        <v>20964650</v>
      </c>
      <c r="T28" s="1" t="s">
        <v>1487</v>
      </c>
      <c r="U28" s="1" t="s">
        <v>1488</v>
      </c>
      <c r="V28" s="1" t="s">
        <v>1490</v>
      </c>
      <c r="W28" s="1" t="s">
        <v>1491</v>
      </c>
      <c r="X28" s="1">
        <v>20027325</v>
      </c>
      <c r="Y28" s="1" t="s">
        <v>1487</v>
      </c>
      <c r="Z28" s="1" t="s">
        <v>1488</v>
      </c>
      <c r="AA28" s="1" t="s">
        <v>520</v>
      </c>
      <c r="AB28" s="1" t="s">
        <v>26</v>
      </c>
      <c r="AC28" s="1" t="s">
        <v>1492</v>
      </c>
      <c r="AD28" s="1">
        <v>2013</v>
      </c>
      <c r="AE28" s="82">
        <v>41431</v>
      </c>
      <c r="AF28" s="1" t="s">
        <v>110</v>
      </c>
      <c r="AG28" s="1" t="str">
        <f ca="1">IFERROR(__xludf.DUMMYFUNCTION("QUERY(FILTER(Importrange(""1W5sXuVCo-muXq9naQExIQV7xdM6BHYSf-xzYZZUGm78"",""'T.ESCOLAR'!P:P""),Importrange(""1W5sXuVCo-muXq9naQExIQV7xdM6BHYSf-xzYZZUGm78"",""'T.ESCOLAR'!b:b"") =Escolares!A28), ""Select * Limit 10"" , 1)"),"#N/A")</f>
        <v>#N/A</v>
      </c>
      <c r="AH28" s="83">
        <f t="shared" ca="1" si="2"/>
        <v>4726</v>
      </c>
    </row>
    <row r="29" spans="1:34" ht="13.8">
      <c r="A29" s="1" t="s">
        <v>1059</v>
      </c>
      <c r="B29" s="1"/>
      <c r="AE29" s="82"/>
      <c r="AG29" s="1" t="str">
        <f ca="1">IFERROR(__xludf.DUMMYFUNCTION("QUERY(FILTER(Importrange(""1W5sXuVCo-muXq9naQExIQV7xdM6BHYSf-xzYZZUGm78"",""'T.ESCOLAR'!P:P""),Importrange(""1W5sXuVCo-muXq9naQExIQV7xdM6BHYSf-xzYZZUGm78"",""'T.ESCOLAR'!B:B"") =Escolares!A29), ""Select * Limit 10"" , 1)"),"#N/A")</f>
        <v>#N/A</v>
      </c>
      <c r="AH29" s="83"/>
    </row>
    <row r="30" spans="1:34" ht="13.8">
      <c r="A30" s="1" t="s">
        <v>1060</v>
      </c>
      <c r="B30" s="1" t="s">
        <v>1379</v>
      </c>
      <c r="C30" s="1" t="s">
        <v>664</v>
      </c>
      <c r="G30" s="1" t="s">
        <v>1493</v>
      </c>
      <c r="H30" s="1" t="s">
        <v>1494</v>
      </c>
      <c r="I30" s="1">
        <v>8340968</v>
      </c>
      <c r="J30" s="4" t="s">
        <v>1495</v>
      </c>
      <c r="K30" s="1" t="s">
        <v>1394</v>
      </c>
      <c r="L30" s="1">
        <v>42496938</v>
      </c>
      <c r="M30" s="1">
        <v>1140250774</v>
      </c>
      <c r="N30" s="1" t="s">
        <v>1496</v>
      </c>
      <c r="O30" s="1" t="s">
        <v>1493</v>
      </c>
      <c r="P30" s="1" t="s">
        <v>1494</v>
      </c>
      <c r="Q30" s="1">
        <v>8340968</v>
      </c>
      <c r="R30" s="1">
        <v>8340968</v>
      </c>
      <c r="T30" s="4" t="s">
        <v>1495</v>
      </c>
      <c r="U30" s="1" t="s">
        <v>1394</v>
      </c>
      <c r="V30" s="1" t="s">
        <v>1493</v>
      </c>
      <c r="W30" s="1" t="s">
        <v>1497</v>
      </c>
      <c r="X30" s="1">
        <v>31683583</v>
      </c>
      <c r="Y30" s="4" t="s">
        <v>1495</v>
      </c>
      <c r="Z30" s="1" t="s">
        <v>1394</v>
      </c>
      <c r="AA30" s="1" t="s">
        <v>662</v>
      </c>
      <c r="AB30" s="4" t="s">
        <v>140</v>
      </c>
      <c r="AC30" s="4" t="s">
        <v>663</v>
      </c>
      <c r="AD30" s="4">
        <v>2003</v>
      </c>
      <c r="AE30" s="87">
        <v>37734</v>
      </c>
      <c r="AF30" s="1" t="s">
        <v>513</v>
      </c>
      <c r="AG30" s="1" t="str">
        <f ca="1">IFERROR(__xludf.DUMMYFUNCTION("QUERY(FILTER(Importrange(""1W5sXuVCo-muXq9naQExIQV7xdM6BHYSf-xzYZZUGm78"",""'T.ESCOLAR'!P:P""),Importrange(""1W5sXuVCo-muXq9naQExIQV7xdM6BHYSf-xzYZZUGm78"",""'T.ESCOLAR'!B:B"") =Escolares!A30), ""Select * Limit 10"" , 1)"),"#N/A")</f>
        <v>#N/A</v>
      </c>
      <c r="AH30" s="83">
        <f ca="1">DATEDIF(AE30,TODAY(),  "D")</f>
        <v>8423</v>
      </c>
    </row>
    <row r="31" spans="1:34" ht="13.8">
      <c r="A31" s="1" t="s">
        <v>1061</v>
      </c>
      <c r="B31" s="1" t="s">
        <v>1379</v>
      </c>
      <c r="C31" s="1" t="s">
        <v>716</v>
      </c>
      <c r="G31" s="1" t="s">
        <v>1498</v>
      </c>
      <c r="H31" s="1" t="s">
        <v>1499</v>
      </c>
      <c r="I31" s="1">
        <v>23602686</v>
      </c>
      <c r="J31" s="1" t="s">
        <v>1500</v>
      </c>
      <c r="K31" s="1" t="s">
        <v>1394</v>
      </c>
      <c r="L31" s="1">
        <v>1124633377</v>
      </c>
      <c r="N31" s="1" t="s">
        <v>916</v>
      </c>
      <c r="O31" s="1" t="s">
        <v>1501</v>
      </c>
      <c r="P31" s="1" t="s">
        <v>1499</v>
      </c>
      <c r="Q31" s="1">
        <v>23602686</v>
      </c>
      <c r="R31" s="1">
        <v>23602686</v>
      </c>
      <c r="T31" s="1" t="s">
        <v>1500</v>
      </c>
      <c r="U31" s="1" t="s">
        <v>1394</v>
      </c>
      <c r="V31" s="1" t="s">
        <v>1502</v>
      </c>
      <c r="W31" s="1" t="s">
        <v>1503</v>
      </c>
      <c r="X31" s="12">
        <v>22265507</v>
      </c>
      <c r="Y31" s="1" t="s">
        <v>1500</v>
      </c>
      <c r="Z31" s="1" t="s">
        <v>1394</v>
      </c>
      <c r="AA31" s="1" t="s">
        <v>523</v>
      </c>
      <c r="AB31" s="12" t="s">
        <v>140</v>
      </c>
      <c r="AC31" s="12" t="s">
        <v>675</v>
      </c>
      <c r="AD31" s="1">
        <v>2008</v>
      </c>
      <c r="AE31" s="24">
        <v>39555</v>
      </c>
      <c r="AF31" s="1" t="s">
        <v>500</v>
      </c>
      <c r="AG31" s="1" t="str">
        <f ca="1">IFERROR(__xludf.DUMMYFUNCTION("QUERY(FILTER(Importrange(""1W5sXuVCo-muXq9naQExIQV7xdM6BHYSf-xzYZZUGm78"",""'T.ESCOLAR'!P:P""),Importrange(""1W5sXuVCo-muXq9naQExIQV7xdM6BHYSf-xzYZZUGm78"",""'T.ESCOLAR'!B:B"") =Escolares!A31), ""Select * Limit 10"" , 1)"),"#N/A")</f>
        <v>#N/A</v>
      </c>
      <c r="AH31" s="83"/>
    </row>
    <row r="32" spans="1:34" ht="13.8">
      <c r="A32" s="1" t="s">
        <v>1062</v>
      </c>
      <c r="B32" s="1" t="s">
        <v>1379</v>
      </c>
      <c r="C32" s="1" t="s">
        <v>1504</v>
      </c>
      <c r="G32" s="1" t="s">
        <v>1505</v>
      </c>
      <c r="H32" s="1" t="s">
        <v>1397</v>
      </c>
      <c r="I32" s="1">
        <v>7829575</v>
      </c>
      <c r="J32" s="1" t="s">
        <v>1506</v>
      </c>
      <c r="K32" s="1" t="s">
        <v>1401</v>
      </c>
      <c r="L32" s="1">
        <v>1166121858</v>
      </c>
      <c r="N32" s="1" t="s">
        <v>1507</v>
      </c>
      <c r="O32" s="1" t="s">
        <v>1505</v>
      </c>
      <c r="P32" s="1" t="s">
        <v>1397</v>
      </c>
      <c r="Q32" s="1">
        <v>7829575</v>
      </c>
      <c r="R32" s="1">
        <v>7829575</v>
      </c>
      <c r="T32" s="1" t="s">
        <v>1506</v>
      </c>
      <c r="U32" s="1" t="s">
        <v>1401</v>
      </c>
      <c r="V32" s="1" t="s">
        <v>1508</v>
      </c>
      <c r="W32" s="1" t="s">
        <v>1509</v>
      </c>
      <c r="X32" s="1">
        <v>27273852</v>
      </c>
      <c r="Y32" s="1" t="s">
        <v>1510</v>
      </c>
      <c r="Z32" s="1" t="s">
        <v>1511</v>
      </c>
      <c r="AA32" s="1" t="s">
        <v>635</v>
      </c>
      <c r="AB32" s="1" t="s">
        <v>504</v>
      </c>
      <c r="AC32" s="1" t="s">
        <v>505</v>
      </c>
      <c r="AD32" s="1">
        <v>2007</v>
      </c>
      <c r="AE32" s="82">
        <v>39304</v>
      </c>
      <c r="AF32" s="1" t="s">
        <v>492</v>
      </c>
      <c r="AG32" s="1" t="str">
        <f ca="1">IFERROR(__xludf.DUMMYFUNCTION("QUERY(FILTER(Importrange(""1W5sXuVCo-muXq9naQExIQV7xdM6BHYSf-xzYZZUGm78"",""'T.ESCOLAR'!P:P""),Importrange(""1W5sXuVCo-muXq9naQExIQV7xdM6BHYSf-xzYZZUGm78"",""'T.ESCOLAR'!B:B"") =Escolares!A32), ""Select * Limit 10"" , 1)"),"#N/A")</f>
        <v>#N/A</v>
      </c>
      <c r="AH32" s="83">
        <f t="shared" ref="AH32:AH33" ca="1" si="3">DATEDIF(AE32,TODAY(),  "D")</f>
        <v>6853</v>
      </c>
    </row>
    <row r="33" spans="1:34" ht="13.8">
      <c r="A33" s="1" t="s">
        <v>1063</v>
      </c>
      <c r="B33" s="1" t="s">
        <v>1379</v>
      </c>
      <c r="C33" s="1" t="s">
        <v>1512</v>
      </c>
      <c r="E33" s="84"/>
      <c r="G33" s="1" t="s">
        <v>1513</v>
      </c>
      <c r="H33" s="1" t="s">
        <v>1514</v>
      </c>
      <c r="I33" s="1">
        <v>26667328</v>
      </c>
      <c r="J33" s="1" t="s">
        <v>1515</v>
      </c>
      <c r="K33" s="1" t="s">
        <v>1406</v>
      </c>
      <c r="L33" s="1">
        <v>1157521241</v>
      </c>
      <c r="N33" s="1" t="s">
        <v>1516</v>
      </c>
      <c r="O33" s="1" t="s">
        <v>1513</v>
      </c>
      <c r="P33" s="1" t="s">
        <v>1514</v>
      </c>
      <c r="Q33" s="1">
        <v>26667328</v>
      </c>
      <c r="R33" s="1">
        <v>26667328</v>
      </c>
      <c r="T33" s="1" t="s">
        <v>1515</v>
      </c>
      <c r="U33" s="1" t="s">
        <v>1406</v>
      </c>
      <c r="V33" s="1" t="s">
        <v>1517</v>
      </c>
      <c r="W33" s="1" t="s">
        <v>1518</v>
      </c>
      <c r="X33" s="1">
        <v>11522946</v>
      </c>
      <c r="Y33" s="1" t="s">
        <v>1519</v>
      </c>
      <c r="Z33" s="1" t="s">
        <v>1406</v>
      </c>
      <c r="AA33" s="1" t="s">
        <v>685</v>
      </c>
      <c r="AB33" s="1" t="s">
        <v>140</v>
      </c>
      <c r="AC33" s="1" t="s">
        <v>675</v>
      </c>
      <c r="AD33" s="1">
        <v>2007</v>
      </c>
      <c r="AE33" s="82">
        <v>39205</v>
      </c>
      <c r="AF33" s="1" t="s">
        <v>500</v>
      </c>
      <c r="AG33" s="1" t="str">
        <f ca="1">IFERROR(__xludf.DUMMYFUNCTION("QUERY(FILTER(Importrange(""1W5sXuVCo-muXq9naQExIQV7xdM6BHYSf-xzYZZUGm78"",""'T.ESCOLAR'!P:P""),Importrange(""1W5sXuVCo-muXq9naQExIQV7xdM6BHYSf-xzYZZUGm78"",""'T.ESCOLAR'!B:B"") =Escolares!A33), ""Select * Limit 10"" , 1)"),"#N/A")</f>
        <v>#N/A</v>
      </c>
      <c r="AH33" s="83">
        <f t="shared" ca="1" si="3"/>
        <v>6952</v>
      </c>
    </row>
    <row r="34" spans="1:34" ht="13.8">
      <c r="A34" s="1" t="s">
        <v>1064</v>
      </c>
      <c r="B34" s="1" t="s">
        <v>1520</v>
      </c>
      <c r="C34" s="1" t="s">
        <v>752</v>
      </c>
      <c r="G34" s="1" t="s">
        <v>1521</v>
      </c>
      <c r="H34" s="1" t="s">
        <v>1522</v>
      </c>
      <c r="I34" s="1">
        <v>14577579</v>
      </c>
      <c r="J34" s="12" t="s">
        <v>1523</v>
      </c>
      <c r="K34" s="1" t="s">
        <v>1524</v>
      </c>
      <c r="L34" s="1">
        <v>1153323805</v>
      </c>
      <c r="N34" s="1" t="s">
        <v>1035</v>
      </c>
      <c r="O34" s="1" t="s">
        <v>1525</v>
      </c>
      <c r="P34" s="1" t="s">
        <v>1522</v>
      </c>
      <c r="Q34" s="1">
        <v>14577579</v>
      </c>
      <c r="R34" s="1">
        <v>14577579</v>
      </c>
      <c r="T34" s="12" t="s">
        <v>1523</v>
      </c>
      <c r="U34" s="1" t="s">
        <v>1524</v>
      </c>
      <c r="V34" s="1" t="s">
        <v>1526</v>
      </c>
      <c r="W34" s="1" t="s">
        <v>1527</v>
      </c>
      <c r="X34" s="1">
        <v>14937681</v>
      </c>
      <c r="Y34" s="1" t="s">
        <v>1528</v>
      </c>
      <c r="Z34" s="1" t="s">
        <v>1406</v>
      </c>
      <c r="AA34" s="1" t="s">
        <v>749</v>
      </c>
      <c r="AB34" s="1" t="s">
        <v>203</v>
      </c>
      <c r="AC34" s="12" t="s">
        <v>750</v>
      </c>
      <c r="AD34" s="1">
        <v>2008</v>
      </c>
      <c r="AE34" s="82">
        <v>39581</v>
      </c>
      <c r="AF34" s="1" t="s">
        <v>751</v>
      </c>
      <c r="AG34" s="1" t="str">
        <f ca="1">IFERROR(__xludf.DUMMYFUNCTION("QUERY(FILTER(Importrange(""1W5sXuVCo-muXq9naQExIQV7xdM6BHYSf-xzYZZUGm78"",""'T.ESCOLAR'!P:P""),Importrange(""1W5sXuVCo-muXq9naQExIQV7xdM6BHYSf-xzYZZUGm78"",""'T.ESCOLAR'!B:B"") =Escolares!A34), ""Select * Limit 10"" , 1)"),"#N/A")</f>
        <v>#N/A</v>
      </c>
      <c r="AH34" s="83"/>
    </row>
    <row r="35" spans="1:34" ht="13.8">
      <c r="A35" s="1" t="s">
        <v>1065</v>
      </c>
      <c r="B35" s="1"/>
      <c r="AE35" s="82"/>
      <c r="AG35" s="1" t="str">
        <f ca="1">IFERROR(__xludf.DUMMYFUNCTION("QUERY(FILTER(Importrange(""1W5sXuVCo-muXq9naQExIQV7xdM6BHYSf-xzYZZUGm78"",""'T.ESCOLAR'!P:P""),Importrange(""1W5sXuVCo-muXq9naQExIQV7xdM6BHYSf-xzYZZUGm78"",""'T.ESCOLAR'!B:B"") =Escolares!A35), ""Select * Limit 10"" , 1)"),"#N/A")</f>
        <v>#N/A</v>
      </c>
      <c r="AH35" s="83"/>
    </row>
    <row r="36" spans="1:34" ht="13.8">
      <c r="A36" s="1" t="s">
        <v>1066</v>
      </c>
      <c r="B36" s="1" t="s">
        <v>1379</v>
      </c>
      <c r="C36" s="1" t="s">
        <v>1529</v>
      </c>
      <c r="F36" s="84"/>
      <c r="G36" s="1" t="s">
        <v>1530</v>
      </c>
      <c r="H36" s="1" t="s">
        <v>1531</v>
      </c>
      <c r="I36" s="1">
        <v>17408609</v>
      </c>
      <c r="J36" s="1" t="s">
        <v>1532</v>
      </c>
      <c r="K36" s="1" t="s">
        <v>1406</v>
      </c>
      <c r="L36" s="1">
        <v>1124572690</v>
      </c>
      <c r="N36" s="1" t="s">
        <v>903</v>
      </c>
      <c r="O36" s="1" t="s">
        <v>1533</v>
      </c>
      <c r="P36" s="1" t="s">
        <v>1534</v>
      </c>
      <c r="Q36" s="1">
        <v>18213096</v>
      </c>
      <c r="R36" s="1">
        <v>18213096</v>
      </c>
      <c r="S36" s="84"/>
      <c r="T36" s="1" t="s">
        <v>1535</v>
      </c>
      <c r="U36" s="1" t="s">
        <v>1406</v>
      </c>
      <c r="V36" s="1" t="s">
        <v>1536</v>
      </c>
      <c r="W36" s="1" t="s">
        <v>1537</v>
      </c>
      <c r="X36" s="1">
        <v>22082221</v>
      </c>
      <c r="Y36" s="1" t="s">
        <v>1538</v>
      </c>
      <c r="Z36" s="1" t="s">
        <v>1406</v>
      </c>
      <c r="AA36" s="1" t="s">
        <v>525</v>
      </c>
      <c r="AB36" s="1" t="s">
        <v>140</v>
      </c>
      <c r="AC36" s="1" t="s">
        <v>526</v>
      </c>
      <c r="AD36" s="1">
        <v>2008</v>
      </c>
      <c r="AE36" s="82">
        <v>39778</v>
      </c>
      <c r="AF36" s="1" t="s">
        <v>487</v>
      </c>
      <c r="AG36" s="1" t="str">
        <f ca="1">IFERROR(__xludf.DUMMYFUNCTION("QUERY(FILTER(Importrange(""1W5sXuVCo-muXq9naQExIQV7xdM6BHYSf-xzYZZUGm78"",""'T.ESCOLAR'!P:P""),Importrange(""1W5sXuVCo-muXq9naQExIQV7xdM6BHYSf-xzYZZUGm78"",""'T.ESCOLAR'!B:B"") =Escolares!A36), ""Select * Limit 10"" , 1)"),"#N/A")</f>
        <v>#N/A</v>
      </c>
      <c r="AH36" s="83">
        <f ca="1">DATEDIF(AE36,TODAY(),  "D")</f>
        <v>6379</v>
      </c>
    </row>
    <row r="37" spans="1:34" ht="13.8">
      <c r="A37" s="1" t="s">
        <v>1067</v>
      </c>
      <c r="B37" s="1" t="s">
        <v>1379</v>
      </c>
      <c r="C37" s="1" t="s">
        <v>743</v>
      </c>
      <c r="G37" s="1" t="s">
        <v>1530</v>
      </c>
      <c r="H37" s="1" t="s">
        <v>1531</v>
      </c>
      <c r="I37" s="1">
        <v>17408609</v>
      </c>
      <c r="J37" s="1" t="s">
        <v>1532</v>
      </c>
      <c r="K37" s="1" t="s">
        <v>1406</v>
      </c>
      <c r="L37" s="1">
        <v>1124572690</v>
      </c>
      <c r="N37" s="1" t="s">
        <v>903</v>
      </c>
      <c r="O37" s="1" t="s">
        <v>1530</v>
      </c>
      <c r="P37" s="1" t="s">
        <v>1531</v>
      </c>
      <c r="Q37" s="1">
        <v>17408609</v>
      </c>
      <c r="R37" s="1">
        <v>17408609</v>
      </c>
      <c r="T37" s="1" t="s">
        <v>1532</v>
      </c>
      <c r="U37" s="1" t="s">
        <v>1406</v>
      </c>
      <c r="V37" s="1" t="s">
        <v>1536</v>
      </c>
      <c r="W37" s="1" t="s">
        <v>1537</v>
      </c>
      <c r="X37" s="1">
        <v>22082221</v>
      </c>
      <c r="Y37" s="1" t="s">
        <v>1538</v>
      </c>
      <c r="Z37" s="1" t="s">
        <v>1406</v>
      </c>
      <c r="AA37" s="1" t="s">
        <v>527</v>
      </c>
      <c r="AB37" s="1" t="s">
        <v>140</v>
      </c>
      <c r="AC37" s="1" t="s">
        <v>486</v>
      </c>
      <c r="AD37" s="1">
        <v>2010</v>
      </c>
      <c r="AE37" s="82">
        <v>40317</v>
      </c>
      <c r="AF37" s="1" t="s">
        <v>513</v>
      </c>
      <c r="AG37" s="1" t="str">
        <f ca="1">IFERROR(__xludf.DUMMYFUNCTION("QUERY(FILTER(Importrange(""1W5sXuVCo-muXq9naQExIQV7xdM6BHYSf-xzYZZUGm78"",""'T.ESCOLAR'!P:P""),Importrange(""1W5sXuVCo-muXq9naQExIQV7xdM6BHYSf-xzYZZUGm78"",""'T.ESCOLAR'!B:B"") =Escolares!A37), ""Select * Limit 10"" , 1)"),"#N/A")</f>
        <v>#N/A</v>
      </c>
      <c r="AH37" s="83"/>
    </row>
    <row r="38" spans="1:34" ht="13.8">
      <c r="A38" s="1" t="s">
        <v>1068</v>
      </c>
      <c r="B38" s="1" t="s">
        <v>1360</v>
      </c>
      <c r="C38" s="1" t="s">
        <v>740</v>
      </c>
      <c r="G38" s="1" t="s">
        <v>1501</v>
      </c>
      <c r="H38" s="1" t="s">
        <v>1539</v>
      </c>
      <c r="I38" s="1">
        <v>44713969</v>
      </c>
      <c r="J38" s="12" t="s">
        <v>1500</v>
      </c>
      <c r="K38" s="85" t="s">
        <v>1540</v>
      </c>
      <c r="L38" s="1">
        <v>1125990159</v>
      </c>
      <c r="N38" s="1" t="s">
        <v>916</v>
      </c>
      <c r="O38" s="1" t="s">
        <v>1541</v>
      </c>
      <c r="P38" s="1" t="s">
        <v>1542</v>
      </c>
      <c r="Q38" s="1">
        <v>23601756</v>
      </c>
      <c r="R38" s="1">
        <v>23601756</v>
      </c>
      <c r="T38" s="1" t="s">
        <v>1543</v>
      </c>
      <c r="U38" s="1" t="s">
        <v>1401</v>
      </c>
      <c r="V38" s="1" t="s">
        <v>1501</v>
      </c>
      <c r="W38" s="1" t="s">
        <v>1539</v>
      </c>
      <c r="X38" s="1">
        <v>44713969</v>
      </c>
      <c r="Y38" s="12" t="s">
        <v>1500</v>
      </c>
      <c r="Z38" s="85" t="s">
        <v>1540</v>
      </c>
      <c r="AA38" s="1" t="s">
        <v>739</v>
      </c>
      <c r="AB38" s="1" t="s">
        <v>1544</v>
      </c>
      <c r="AC38" s="12" t="s">
        <v>546</v>
      </c>
      <c r="AD38" s="1">
        <v>2008</v>
      </c>
      <c r="AE38" s="82">
        <v>39583</v>
      </c>
      <c r="AF38" s="12" t="s">
        <v>492</v>
      </c>
      <c r="AG38" s="1" t="str">
        <f ca="1">IFERROR(__xludf.DUMMYFUNCTION("QUERY(FILTER(Importrange(""1W5sXuVCo-muXq9naQExIQV7xdM6BHYSf-xzYZZUGm78"",""'T.ESCOLAR'!P:P""),Importrange(""1W5sXuVCo-muXq9naQExIQV7xdM6BHYSf-xzYZZUGm78"",""'T.ESCOLAR'!B:B"") =Escolares!A38), ""Select * Limit 10"" , 1)"),"#N/A")</f>
        <v>#N/A</v>
      </c>
      <c r="AH38" s="83"/>
    </row>
    <row r="39" spans="1:34" ht="13.8">
      <c r="A39" s="1" t="s">
        <v>528</v>
      </c>
      <c r="B39" s="1" t="s">
        <v>1360</v>
      </c>
      <c r="C39" s="1" t="s">
        <v>1545</v>
      </c>
      <c r="G39" s="1" t="s">
        <v>1472</v>
      </c>
      <c r="H39" s="1" t="s">
        <v>1473</v>
      </c>
      <c r="I39" s="1">
        <v>32441700</v>
      </c>
      <c r="J39" s="4" t="s">
        <v>1474</v>
      </c>
      <c r="K39" s="1" t="s">
        <v>1475</v>
      </c>
      <c r="L39" s="1">
        <v>1132532981</v>
      </c>
      <c r="N39" s="1" t="s">
        <v>1476</v>
      </c>
      <c r="O39" s="1" t="s">
        <v>1546</v>
      </c>
      <c r="P39" s="1" t="s">
        <v>1547</v>
      </c>
      <c r="Q39" s="1">
        <v>16024509</v>
      </c>
      <c r="R39" s="1">
        <v>16024509</v>
      </c>
      <c r="S39" s="84">
        <v>44839</v>
      </c>
      <c r="T39" s="1" t="s">
        <v>1548</v>
      </c>
      <c r="U39" s="1" t="s">
        <v>1549</v>
      </c>
      <c r="V39" s="1" t="s">
        <v>1481</v>
      </c>
      <c r="W39" s="1" t="s">
        <v>1482</v>
      </c>
      <c r="X39" s="1">
        <v>35948347</v>
      </c>
      <c r="Y39" s="1" t="s">
        <v>1483</v>
      </c>
      <c r="Z39" s="1" t="s">
        <v>1550</v>
      </c>
      <c r="AA39" s="1" t="s">
        <v>529</v>
      </c>
      <c r="AB39" s="1" t="s">
        <v>1544</v>
      </c>
      <c r="AC39" s="1" t="s">
        <v>517</v>
      </c>
      <c r="AD39" s="1">
        <v>2013</v>
      </c>
      <c r="AE39" s="82">
        <v>41288</v>
      </c>
      <c r="AF39" s="1" t="s">
        <v>487</v>
      </c>
      <c r="AG39" s="1" t="str">
        <f ca="1">IFERROR(__xludf.DUMMYFUNCTION("QUERY(FILTER(Importrange(""1W5sXuVCo-muXq9naQExIQV7xdM6BHYSf-xzYZZUGm78"",""'T.ESCOLAR'!P:P""),Importrange(""1W5sXuVCo-muXq9naQExIQV7xdM6BHYSf-xzYZZUGm78"",""'T.ESCOLAR'!B:B"") =Escolares!A39), ""Select * Limit 10"" , 1)"),"APROBADO")</f>
        <v>APROBADO</v>
      </c>
      <c r="AH39" s="83">
        <f ca="1">DATEDIF(AE39,TODAY(),  "D")</f>
        <v>4869</v>
      </c>
    </row>
    <row r="40" spans="1:34" ht="13.8">
      <c r="A40" s="1" t="s">
        <v>1069</v>
      </c>
      <c r="B40" s="1" t="s">
        <v>1360</v>
      </c>
      <c r="C40" s="1" t="s">
        <v>733</v>
      </c>
      <c r="G40" s="1" t="s">
        <v>1407</v>
      </c>
      <c r="H40" s="1" t="s">
        <v>1551</v>
      </c>
      <c r="I40" s="1">
        <v>5307088</v>
      </c>
      <c r="J40" s="1" t="s">
        <v>1400</v>
      </c>
      <c r="K40" s="1" t="s">
        <v>1401</v>
      </c>
      <c r="L40" s="1">
        <v>42092129</v>
      </c>
      <c r="N40" s="1" t="s">
        <v>1402</v>
      </c>
      <c r="O40" s="1" t="s">
        <v>1398</v>
      </c>
      <c r="P40" s="1" t="s">
        <v>1399</v>
      </c>
      <c r="Q40" s="1">
        <v>7373876</v>
      </c>
      <c r="R40" s="1">
        <v>7373876</v>
      </c>
      <c r="T40" s="1" t="s">
        <v>1400</v>
      </c>
      <c r="U40" s="1" t="s">
        <v>1401</v>
      </c>
      <c r="V40" s="1" t="s">
        <v>1407</v>
      </c>
      <c r="W40" s="1" t="s">
        <v>1408</v>
      </c>
      <c r="X40" s="1">
        <v>5307088</v>
      </c>
      <c r="Y40" s="1" t="s">
        <v>1400</v>
      </c>
      <c r="Z40" s="1" t="s">
        <v>1401</v>
      </c>
      <c r="AA40" s="1" t="s">
        <v>732</v>
      </c>
      <c r="AB40" s="1" t="s">
        <v>504</v>
      </c>
      <c r="AC40" s="1" t="s">
        <v>505</v>
      </c>
      <c r="AD40" s="1">
        <v>2008</v>
      </c>
      <c r="AE40" s="82">
        <v>39693</v>
      </c>
      <c r="AF40" s="1" t="s">
        <v>487</v>
      </c>
      <c r="AG40" s="1" t="str">
        <f ca="1">IFERROR(__xludf.DUMMYFUNCTION("QUERY(FILTER(Importrange(""1W5sXuVCo-muXq9naQExIQV7xdM6BHYSf-xzYZZUGm78"",""'T.ESCOLAR'!P:P""),Importrange(""1W5sXuVCo-muXq9naQExIQV7xdM6BHYSf-xzYZZUGm78"",""'T.ESCOLAR'!B:B"") =Escolares!A40), ""Select * Limit 10"" , 1)"),"#N/A")</f>
        <v>#N/A</v>
      </c>
      <c r="AH40" s="83"/>
    </row>
    <row r="41" spans="1:34" ht="13.8">
      <c r="A41" s="1" t="s">
        <v>1070</v>
      </c>
      <c r="B41" s="1"/>
      <c r="AE41" s="82"/>
      <c r="AG41" s="1" t="str">
        <f ca="1">IFERROR(__xludf.DUMMYFUNCTION("QUERY(FILTER(Importrange(""1W5sXuVCo-muXq9naQExIQV7xdM6BHYSf-xzYZZUGm78"",""'T.ESCOLAR'!P:P""),Importrange(""1W5sXuVCo-muXq9naQExIQV7xdM6BHYSf-xzYZZUGm78"",""'T.ESCOLAR'!B:B"") =Escolares!A41), ""Select * Limit 10"" , 1)"),"#N/A")</f>
        <v>#N/A</v>
      </c>
      <c r="AH41" s="83"/>
    </row>
    <row r="42" spans="1:34" ht="13.8">
      <c r="A42" s="1" t="s">
        <v>1071</v>
      </c>
      <c r="B42" s="1" t="s">
        <v>1379</v>
      </c>
      <c r="C42" s="1" t="s">
        <v>793</v>
      </c>
      <c r="F42" s="84"/>
      <c r="G42" s="1" t="s">
        <v>1552</v>
      </c>
      <c r="H42" s="1" t="s">
        <v>1553</v>
      </c>
      <c r="I42" s="1">
        <v>12714332</v>
      </c>
      <c r="J42" s="1" t="s">
        <v>530</v>
      </c>
      <c r="K42" s="1" t="s">
        <v>1406</v>
      </c>
      <c r="L42" s="1">
        <v>1161366379</v>
      </c>
      <c r="N42" s="1" t="s">
        <v>1032</v>
      </c>
      <c r="O42" s="1" t="s">
        <v>1554</v>
      </c>
      <c r="P42" s="1" t="s">
        <v>1387</v>
      </c>
      <c r="Q42" s="1">
        <v>13369444</v>
      </c>
      <c r="R42" s="1">
        <v>13369444</v>
      </c>
      <c r="S42" s="84"/>
      <c r="T42" s="1" t="s">
        <v>1555</v>
      </c>
      <c r="U42" s="1" t="s">
        <v>1406</v>
      </c>
      <c r="V42" s="1" t="s">
        <v>1552</v>
      </c>
      <c r="W42" s="1" t="s">
        <v>1553</v>
      </c>
      <c r="X42" s="1">
        <v>12714332</v>
      </c>
      <c r="Y42" s="1" t="s">
        <v>530</v>
      </c>
      <c r="Z42" s="1" t="s">
        <v>1406</v>
      </c>
      <c r="AA42" s="1" t="s">
        <v>531</v>
      </c>
      <c r="AB42" s="1" t="s">
        <v>140</v>
      </c>
      <c r="AC42" s="1" t="s">
        <v>532</v>
      </c>
      <c r="AD42" s="1">
        <v>2007</v>
      </c>
      <c r="AE42" s="82">
        <v>39244</v>
      </c>
      <c r="AF42" s="1" t="s">
        <v>492</v>
      </c>
      <c r="AG42" s="1" t="str">
        <f ca="1">IFERROR(__xludf.DUMMYFUNCTION("QUERY(FILTER(Importrange(""1W5sXuVCo-muXq9naQExIQV7xdM6BHYSf-xzYZZUGm78"",""'T.ESCOLAR'!P:P""),Importrange(""1W5sXuVCo-muXq9naQExIQV7xdM6BHYSf-xzYZZUGm78"",""'T.ESCOLAR'!B:B"") =Escolares!A42), ""Select * Limit 10"" , 1)"),"#N/A")</f>
        <v>#N/A</v>
      </c>
      <c r="AH42" s="83">
        <f t="shared" ref="AH42:AH43" ca="1" si="4">DATEDIF(AE42,TODAY(),  "D")</f>
        <v>6913</v>
      </c>
    </row>
    <row r="43" spans="1:34" ht="13.8">
      <c r="A43" s="1" t="s">
        <v>1072</v>
      </c>
      <c r="B43" s="1" t="s">
        <v>1360</v>
      </c>
      <c r="C43" s="1" t="s">
        <v>536</v>
      </c>
      <c r="G43" s="1" t="s">
        <v>1556</v>
      </c>
      <c r="H43" s="1" t="s">
        <v>1557</v>
      </c>
      <c r="I43" s="1">
        <v>20246137</v>
      </c>
      <c r="J43" s="1" t="s">
        <v>1558</v>
      </c>
      <c r="K43" s="1" t="s">
        <v>1401</v>
      </c>
      <c r="L43" s="1">
        <v>1151373252</v>
      </c>
      <c r="N43" s="1" t="s">
        <v>1559</v>
      </c>
      <c r="O43" s="1" t="s">
        <v>1560</v>
      </c>
      <c r="P43" s="1" t="s">
        <v>1561</v>
      </c>
      <c r="Q43" s="1">
        <v>16105045</v>
      </c>
      <c r="R43" s="1">
        <v>16105045</v>
      </c>
      <c r="T43" s="1" t="s">
        <v>1562</v>
      </c>
      <c r="U43" s="1" t="s">
        <v>1401</v>
      </c>
      <c r="V43" s="1" t="s">
        <v>1556</v>
      </c>
      <c r="W43" s="1" t="s">
        <v>1557</v>
      </c>
      <c r="X43" s="1">
        <v>20246137</v>
      </c>
      <c r="Y43" s="1" t="s">
        <v>1558</v>
      </c>
      <c r="Z43" s="1" t="s">
        <v>1401</v>
      </c>
      <c r="AA43" s="1" t="s">
        <v>535</v>
      </c>
      <c r="AB43" s="1" t="s">
        <v>140</v>
      </c>
      <c r="AC43" s="1" t="s">
        <v>512</v>
      </c>
      <c r="AD43" s="1">
        <v>2005</v>
      </c>
      <c r="AE43" s="82">
        <v>38420</v>
      </c>
      <c r="AF43" s="1" t="s">
        <v>513</v>
      </c>
      <c r="AG43" s="1" t="str">
        <f ca="1">IFERROR(__xludf.DUMMYFUNCTION("QUERY(FILTER(Importrange(""1W5sXuVCo-muXq9naQExIQV7xdM6BHYSf-xzYZZUGm78"",""'T.ESCOLAR'!P:P""),Importrange(""1W5sXuVCo-muXq9naQExIQV7xdM6BHYSf-xzYZZUGm78"",""'T.ESCOLAR'!B:B"") =Escolares!A43), ""Select * Limit 10"" , 1)"),"#N/A")</f>
        <v>#N/A</v>
      </c>
      <c r="AH43" s="83">
        <f t="shared" ca="1" si="4"/>
        <v>7737</v>
      </c>
    </row>
    <row r="44" spans="1:34" ht="13.8">
      <c r="A44" s="1" t="s">
        <v>1073</v>
      </c>
      <c r="B44" s="1"/>
      <c r="AE44" s="82"/>
      <c r="AG44" s="1" t="str">
        <f ca="1">IFERROR(__xludf.DUMMYFUNCTION("QUERY(FILTER(Importrange(""1W5sXuVCo-muXq9naQExIQV7xdM6BHYSf-xzYZZUGm78"",""'T.ESCOLAR'!P:P""),Importrange(""1W5sXuVCo-muXq9naQExIQV7xdM6BHYSf-xzYZZUGm78"",""'T.ESCOLAR'!B:B"") =Escolares!A44), ""Select * Limit 10"" , 1)"),"#N/A")</f>
        <v>#N/A</v>
      </c>
      <c r="AH44" s="83"/>
    </row>
    <row r="45" spans="1:34" ht="13.8">
      <c r="A45" s="1" t="s">
        <v>1074</v>
      </c>
      <c r="B45" s="1"/>
      <c r="AE45" s="82"/>
      <c r="AG45" s="1" t="str">
        <f ca="1">IFERROR(__xludf.DUMMYFUNCTION("QUERY(FILTER(Importrange(""1W5sXuVCo-muXq9naQExIQV7xdM6BHYSf-xzYZZUGm78"",""'T.ESCOLAR'!P:P""),Importrange(""1W5sXuVCo-muXq9naQExIQV7xdM6BHYSf-xzYZZUGm78"",""'T.ESCOLAR'!B:B"") =Escolares!A45), ""Select * Limit 10"" , 1)"),"#N/A")</f>
        <v>#N/A</v>
      </c>
      <c r="AH45" s="83"/>
    </row>
    <row r="46" spans="1:34" ht="13.8">
      <c r="A46" s="1" t="s">
        <v>1075</v>
      </c>
      <c r="B46" s="1"/>
      <c r="AE46" s="82"/>
      <c r="AG46" s="1" t="str">
        <f ca="1">IFERROR(__xludf.DUMMYFUNCTION("QUERY(FILTER(Importrange(""1W5sXuVCo-muXq9naQExIQV7xdM6BHYSf-xzYZZUGm78"",""'T.ESCOLAR'!P:P""),Importrange(""1W5sXuVCo-muXq9naQExIQV7xdM6BHYSf-xzYZZUGm78"",""'T.ESCOLAR'!B:B"") =Escolares!A46), ""Select * Limit 10"" , 1)"),"#N/A")</f>
        <v>#N/A</v>
      </c>
      <c r="AH46" s="83"/>
    </row>
    <row r="47" spans="1:34" ht="13.8">
      <c r="A47" s="1" t="s">
        <v>537</v>
      </c>
      <c r="B47" s="1" t="s">
        <v>1379</v>
      </c>
      <c r="C47" s="1" t="s">
        <v>539</v>
      </c>
      <c r="G47" s="16" t="s">
        <v>1563</v>
      </c>
      <c r="H47" s="88" t="s">
        <v>1564</v>
      </c>
      <c r="I47" s="1">
        <v>24827353</v>
      </c>
      <c r="J47" s="1" t="s">
        <v>1565</v>
      </c>
      <c r="K47" s="1" t="s">
        <v>1389</v>
      </c>
      <c r="L47" s="1">
        <v>1164393769</v>
      </c>
      <c r="N47" s="89" t="s">
        <v>1566</v>
      </c>
      <c r="O47" s="16" t="s">
        <v>1563</v>
      </c>
      <c r="P47" s="88" t="s">
        <v>1564</v>
      </c>
      <c r="Q47" s="1">
        <v>24827353</v>
      </c>
      <c r="R47" s="1">
        <v>24827353</v>
      </c>
      <c r="T47" s="1" t="s">
        <v>1565</v>
      </c>
      <c r="U47" s="1" t="s">
        <v>1389</v>
      </c>
      <c r="V47" s="1" t="s">
        <v>1567</v>
      </c>
      <c r="W47" s="1" t="s">
        <v>1568</v>
      </c>
      <c r="X47" s="1">
        <v>23472270</v>
      </c>
      <c r="Y47" s="1" t="s">
        <v>1569</v>
      </c>
      <c r="Z47" s="1" t="s">
        <v>1389</v>
      </c>
      <c r="AA47" s="1" t="s">
        <v>538</v>
      </c>
      <c r="AB47" s="1" t="s">
        <v>504</v>
      </c>
      <c r="AC47" s="1" t="s">
        <v>505</v>
      </c>
      <c r="AD47" s="1">
        <v>2008</v>
      </c>
      <c r="AE47" s="82">
        <v>39489</v>
      </c>
      <c r="AF47" s="1" t="s">
        <v>487</v>
      </c>
      <c r="AG47" s="1" t="str">
        <f ca="1">IFERROR(__xludf.DUMMYFUNCTION("QUERY(FILTER(Importrange(""1W5sXuVCo-muXq9naQExIQV7xdM6BHYSf-xzYZZUGm78"",""'T.ESCOLAR'!P:P""),Importrange(""1W5sXuVCo-muXq9naQExIQV7xdM6BHYSf-xzYZZUGm78"",""'T.ESCOLAR'!B:B"") =Escolares!A47), ""Select * Limit 10"" , 1)"),"APROBADO")</f>
        <v>APROBADO</v>
      </c>
      <c r="AH47" s="83">
        <f t="shared" ref="AH47:AH48" ca="1" si="5">DATEDIF(AE47,TODAY(),  "D")</f>
        <v>6668</v>
      </c>
    </row>
    <row r="48" spans="1:34" ht="13.8">
      <c r="A48" s="1" t="s">
        <v>1076</v>
      </c>
      <c r="B48" s="1" t="s">
        <v>1379</v>
      </c>
      <c r="C48" s="1" t="s">
        <v>772</v>
      </c>
      <c r="G48" s="1" t="s">
        <v>1570</v>
      </c>
      <c r="H48" s="1" t="s">
        <v>1571</v>
      </c>
      <c r="I48" s="1">
        <v>27696158</v>
      </c>
      <c r="J48" s="1" t="s">
        <v>1572</v>
      </c>
      <c r="K48" s="1" t="s">
        <v>1401</v>
      </c>
      <c r="L48" s="1">
        <v>1169885670</v>
      </c>
      <c r="N48" s="1" t="s">
        <v>1573</v>
      </c>
      <c r="O48" s="1" t="s">
        <v>1570</v>
      </c>
      <c r="P48" s="1" t="s">
        <v>1571</v>
      </c>
      <c r="Q48" s="1">
        <v>27696158</v>
      </c>
      <c r="R48" s="1">
        <v>27696158</v>
      </c>
      <c r="T48" s="1" t="s">
        <v>1572</v>
      </c>
      <c r="U48" s="1" t="s">
        <v>1401</v>
      </c>
      <c r="V48" s="1" t="s">
        <v>1570</v>
      </c>
      <c r="W48" s="1" t="s">
        <v>1574</v>
      </c>
      <c r="X48" s="1">
        <v>30296945</v>
      </c>
      <c r="Y48" s="1" t="s">
        <v>1575</v>
      </c>
      <c r="Z48" s="1" t="s">
        <v>1401</v>
      </c>
      <c r="AA48" s="1" t="s">
        <v>542</v>
      </c>
      <c r="AB48" s="1" t="s">
        <v>1544</v>
      </c>
      <c r="AC48" s="1" t="s">
        <v>543</v>
      </c>
      <c r="AD48" s="1">
        <v>2013</v>
      </c>
      <c r="AE48" s="82">
        <v>41278</v>
      </c>
      <c r="AF48" s="1" t="s">
        <v>500</v>
      </c>
      <c r="AG48" s="1" t="str">
        <f ca="1">IFERROR(__xludf.DUMMYFUNCTION("QUERY(FILTER(Importrange(""1W5sXuVCo-muXq9naQExIQV7xdM6BHYSf-xzYZZUGm78"",""'T.ESCOLAR'!P:P""),Importrange(""1W5sXuVCo-muXq9naQExIQV7xdM6BHYSf-xzYZZUGm78"",""'T.ESCOLAR'!B:B"") =Escolares!A48), ""Select * Limit 10"" , 1)"),"#N/A")</f>
        <v>#N/A</v>
      </c>
      <c r="AH48" s="83">
        <f t="shared" ca="1" si="5"/>
        <v>4879</v>
      </c>
    </row>
    <row r="49" spans="1:34" ht="13.8">
      <c r="A49" s="1" t="s">
        <v>1077</v>
      </c>
      <c r="B49" s="1"/>
      <c r="AE49" s="82"/>
      <c r="AG49" s="1" t="str">
        <f ca="1">IFERROR(__xludf.DUMMYFUNCTION("QUERY(FILTER(Importrange(""1W5sXuVCo-muXq9naQExIQV7xdM6BHYSf-xzYZZUGm78"",""'T.ESCOLAR'!P:P""),Importrange(""1W5sXuVCo-muXq9naQExIQV7xdM6BHYSf-xzYZZUGm78"",""'T.ESCOLAR'!B:B"") =Escolares!A49), ""Select * Limit 10"" , 1)"),"#N/A")</f>
        <v>#N/A</v>
      </c>
      <c r="AH49" s="83"/>
    </row>
    <row r="50" spans="1:34" ht="13.8">
      <c r="A50" s="1" t="s">
        <v>1078</v>
      </c>
      <c r="B50" s="1"/>
      <c r="AE50" s="82"/>
      <c r="AG50" s="1" t="str">
        <f ca="1">IFERROR(__xludf.DUMMYFUNCTION("QUERY(FILTER(Importrange(""1W5sXuVCo-muXq9naQExIQV7xdM6BHYSf-xzYZZUGm78"",""'T.ESCOLAR'!P:P""),Importrange(""1W5sXuVCo-muXq9naQExIQV7xdM6BHYSf-xzYZZUGm78"",""'T.ESCOLAR'!B:B"") =Escolares!A50), ""Select * Limit 10"" , 1)"),"#N/A")</f>
        <v>#N/A</v>
      </c>
      <c r="AH50" s="83"/>
    </row>
    <row r="51" spans="1:34" ht="13.8">
      <c r="A51" s="1" t="s">
        <v>1079</v>
      </c>
      <c r="B51" s="1"/>
      <c r="AE51" s="82"/>
      <c r="AG51" s="1" t="str">
        <f ca="1">IFERROR(__xludf.DUMMYFUNCTION("QUERY(FILTER(Importrange(""1W5sXuVCo-muXq9naQExIQV7xdM6BHYSf-xzYZZUGm78"",""'T.ESCOLAR'!P:P""),Importrange(""1W5sXuVCo-muXq9naQExIQV7xdM6BHYSf-xzYZZUGm78"",""'T.ESCOLAR'!B:B"") =Escolares!A51), ""Select * Limit 10"" , 1)"),"#N/A")</f>
        <v>#N/A</v>
      </c>
      <c r="AH51" s="83"/>
    </row>
    <row r="52" spans="1:34" ht="13.8">
      <c r="A52" s="1" t="s">
        <v>544</v>
      </c>
      <c r="B52" s="1" t="s">
        <v>1360</v>
      </c>
      <c r="C52" s="1" t="s">
        <v>547</v>
      </c>
      <c r="F52" s="84">
        <v>44690</v>
      </c>
      <c r="G52" s="1" t="s">
        <v>1576</v>
      </c>
      <c r="H52" s="1" t="s">
        <v>1577</v>
      </c>
      <c r="I52" s="1">
        <v>25969725</v>
      </c>
      <c r="J52" s="1" t="s">
        <v>1578</v>
      </c>
      <c r="K52" s="1" t="s">
        <v>1420</v>
      </c>
      <c r="L52" s="1">
        <v>1163838939</v>
      </c>
      <c r="N52" s="1" t="s">
        <v>1579</v>
      </c>
      <c r="O52" s="1" t="s">
        <v>1576</v>
      </c>
      <c r="P52" s="1" t="s">
        <v>1577</v>
      </c>
      <c r="Q52" s="1">
        <v>25969725</v>
      </c>
      <c r="R52" s="1">
        <v>25969725</v>
      </c>
      <c r="T52" s="1" t="s">
        <v>1578</v>
      </c>
      <c r="U52" s="1" t="s">
        <v>1420</v>
      </c>
      <c r="V52" s="1" t="s">
        <v>1580</v>
      </c>
      <c r="W52" s="1" t="s">
        <v>1581</v>
      </c>
      <c r="X52" s="1">
        <v>27625267</v>
      </c>
      <c r="Y52" s="1" t="s">
        <v>1578</v>
      </c>
      <c r="Z52" s="1" t="s">
        <v>1420</v>
      </c>
      <c r="AA52" s="1" t="s">
        <v>545</v>
      </c>
      <c r="AB52" s="1" t="s">
        <v>140</v>
      </c>
      <c r="AC52" s="1" t="s">
        <v>546</v>
      </c>
      <c r="AD52" s="1">
        <v>2006</v>
      </c>
      <c r="AE52" s="82">
        <v>38776</v>
      </c>
      <c r="AF52" s="1" t="s">
        <v>492</v>
      </c>
      <c r="AG52" s="1" t="str">
        <f ca="1">IFERROR(__xludf.DUMMYFUNCTION("QUERY(FILTER(Importrange(""1W5sXuVCo-muXq9naQExIQV7xdM6BHYSf-xzYZZUGm78"",""'T.ESCOLAR'!P:P""),Importrange(""1W5sXuVCo-muXq9naQExIQV7xdM6BHYSf-xzYZZUGm78"",""'T.ESCOLAR'!B:B"") =Escolares!A52), ""Select * Limit 10"" , 1)"),"APROBADO")</f>
        <v>APROBADO</v>
      </c>
      <c r="AH52" s="83">
        <f t="shared" ref="AH52:AH55" ca="1" si="6">DATEDIF(AE52,TODAY(),  "D")</f>
        <v>7381</v>
      </c>
    </row>
    <row r="53" spans="1:34" ht="13.8">
      <c r="A53" s="1" t="s">
        <v>548</v>
      </c>
      <c r="B53" s="1" t="s">
        <v>1379</v>
      </c>
      <c r="C53" s="1" t="s">
        <v>1582</v>
      </c>
      <c r="G53" s="1" t="s">
        <v>1583</v>
      </c>
      <c r="H53" s="1" t="s">
        <v>1584</v>
      </c>
      <c r="I53" s="1">
        <v>36286643</v>
      </c>
      <c r="J53" s="1" t="s">
        <v>1585</v>
      </c>
      <c r="K53" s="1" t="s">
        <v>1586</v>
      </c>
      <c r="L53" s="1">
        <v>1162261016</v>
      </c>
      <c r="N53" s="1" t="s">
        <v>1587</v>
      </c>
      <c r="O53" s="1" t="s">
        <v>1583</v>
      </c>
      <c r="P53" s="1" t="s">
        <v>1584</v>
      </c>
      <c r="Q53" s="1">
        <v>36286643</v>
      </c>
      <c r="R53" s="1">
        <v>36286643</v>
      </c>
      <c r="T53" s="1" t="s">
        <v>1585</v>
      </c>
      <c r="U53" s="1" t="s">
        <v>1586</v>
      </c>
      <c r="V53" s="1" t="s">
        <v>1588</v>
      </c>
      <c r="W53" s="1" t="s">
        <v>1589</v>
      </c>
      <c r="X53" s="1">
        <v>37256323</v>
      </c>
      <c r="Y53" s="1" t="s">
        <v>1590</v>
      </c>
      <c r="Z53" s="1" t="s">
        <v>1550</v>
      </c>
      <c r="AA53" s="1" t="s">
        <v>549</v>
      </c>
      <c r="AB53" s="1" t="s">
        <v>140</v>
      </c>
      <c r="AC53" s="6" t="s">
        <v>546</v>
      </c>
      <c r="AD53" s="1">
        <v>2006</v>
      </c>
      <c r="AE53" s="90">
        <v>38875</v>
      </c>
      <c r="AF53" s="6" t="s">
        <v>513</v>
      </c>
      <c r="AG53" s="1" t="str">
        <f ca="1">IFERROR(__xludf.DUMMYFUNCTION("QUERY(FILTER(Importrange(""1W5sXuVCo-muXq9naQExIQV7xdM6BHYSf-xzYZZUGm78"",""'T.ESCOLAR'!P:P""),Importrange(""1W5sXuVCo-muXq9naQExIQV7xdM6BHYSf-xzYZZUGm78"",""'T.ESCOLAR'!B:B"") =Escolares!A53), ""Select * Limit 10"" , 1)"),"APROBADO")</f>
        <v>APROBADO</v>
      </c>
      <c r="AH53" s="83">
        <f t="shared" ca="1" si="6"/>
        <v>7282</v>
      </c>
    </row>
    <row r="54" spans="1:34" ht="13.8">
      <c r="A54" s="1" t="s">
        <v>1080</v>
      </c>
      <c r="B54" s="1" t="s">
        <v>1379</v>
      </c>
      <c r="C54" s="1" t="s">
        <v>1591</v>
      </c>
      <c r="F54" s="84"/>
      <c r="G54" s="1" t="s">
        <v>1517</v>
      </c>
      <c r="H54" s="1" t="s">
        <v>1518</v>
      </c>
      <c r="I54" s="1">
        <v>11522946</v>
      </c>
      <c r="J54" s="1" t="s">
        <v>1519</v>
      </c>
      <c r="K54" s="1" t="s">
        <v>1406</v>
      </c>
      <c r="L54" s="1">
        <v>1560580468</v>
      </c>
      <c r="M54" s="1">
        <v>42625912</v>
      </c>
      <c r="N54" s="1" t="s">
        <v>1592</v>
      </c>
      <c r="O54" s="1" t="s">
        <v>1593</v>
      </c>
      <c r="P54" s="1" t="s">
        <v>1478</v>
      </c>
      <c r="Q54" s="1">
        <v>18323500</v>
      </c>
      <c r="R54" s="1">
        <v>18323500</v>
      </c>
      <c r="T54" s="1" t="s">
        <v>1594</v>
      </c>
      <c r="U54" s="1" t="s">
        <v>1401</v>
      </c>
      <c r="V54" s="1" t="s">
        <v>1517</v>
      </c>
      <c r="W54" s="1" t="s">
        <v>1382</v>
      </c>
      <c r="X54" s="1">
        <v>13030336</v>
      </c>
      <c r="Y54" s="1" t="s">
        <v>1595</v>
      </c>
      <c r="Z54" s="1" t="s">
        <v>1406</v>
      </c>
      <c r="AA54" s="1" t="s">
        <v>690</v>
      </c>
      <c r="AB54" s="1" t="s">
        <v>140</v>
      </c>
      <c r="AC54" s="1" t="s">
        <v>1596</v>
      </c>
      <c r="AD54" s="1">
        <v>2008</v>
      </c>
      <c r="AE54" s="82">
        <v>39784</v>
      </c>
      <c r="AF54" s="1" t="s">
        <v>500</v>
      </c>
      <c r="AG54" s="1" t="str">
        <f ca="1">IFERROR(__xludf.DUMMYFUNCTION("QUERY(FILTER(Importrange(""1W5sXuVCo-muXq9naQExIQV7xdM6BHYSf-xzYZZUGm78"",""'T.ESCOLAR'!P:P""),Importrange(""1W5sXuVCo-muXq9naQExIQV7xdM6BHYSf-xzYZZUGm78"",""'T.ESCOLAR'!B:B"") =Escolares!A54), ""Select * Limit 10"" , 1)"),"#N/A")</f>
        <v>#N/A</v>
      </c>
      <c r="AH54" s="83">
        <f t="shared" ca="1" si="6"/>
        <v>6373</v>
      </c>
    </row>
    <row r="55" spans="1:34" ht="13.8">
      <c r="A55" s="1" t="s">
        <v>1081</v>
      </c>
      <c r="B55" s="1" t="s">
        <v>1597</v>
      </c>
      <c r="C55" s="1" t="s">
        <v>661</v>
      </c>
      <c r="G55" s="1" t="s">
        <v>1598</v>
      </c>
      <c r="H55" s="1" t="s">
        <v>1599</v>
      </c>
      <c r="I55" s="1">
        <v>24453669</v>
      </c>
      <c r="J55" s="1" t="s">
        <v>1600</v>
      </c>
      <c r="K55" s="1" t="s">
        <v>1601</v>
      </c>
      <c r="L55" s="1">
        <v>1166137019</v>
      </c>
      <c r="N55" s="1" t="s">
        <v>1602</v>
      </c>
      <c r="O55" s="1" t="s">
        <v>1598</v>
      </c>
      <c r="P55" s="1" t="s">
        <v>1599</v>
      </c>
      <c r="Q55" s="1">
        <v>24453669</v>
      </c>
      <c r="R55" s="1">
        <v>24453669</v>
      </c>
      <c r="T55" s="1" t="s">
        <v>1600</v>
      </c>
      <c r="U55" s="1" t="s">
        <v>1601</v>
      </c>
      <c r="V55" s="1" t="s">
        <v>1598</v>
      </c>
      <c r="W55" s="1" t="s">
        <v>1603</v>
      </c>
      <c r="X55" s="1">
        <v>42232117</v>
      </c>
      <c r="Y55" s="1" t="s">
        <v>1600</v>
      </c>
      <c r="Z55" s="1" t="s">
        <v>1601</v>
      </c>
      <c r="AA55" s="1" t="s">
        <v>660</v>
      </c>
      <c r="AB55" s="1" t="s">
        <v>504</v>
      </c>
      <c r="AC55" s="1" t="s">
        <v>505</v>
      </c>
      <c r="AD55" s="1">
        <v>2007</v>
      </c>
      <c r="AE55" s="82">
        <v>39416</v>
      </c>
      <c r="AF55" s="1" t="s">
        <v>487</v>
      </c>
      <c r="AG55" s="1" t="str">
        <f ca="1">IFERROR(__xludf.DUMMYFUNCTION("QUERY(FILTER(Importrange(""1W5sXuVCo-muXq9naQExIQV7xdM6BHYSf-xzYZZUGm78"",""'T.ESCOLAR'!P:P""),Importrange(""1W5sXuVCo-muXq9naQExIQV7xdM6BHYSf-xzYZZUGm78"",""'T.ESCOLAR'!B:B"") =Escolares!A55), ""Select * Limit 10"" , 1)"),"#N/A")</f>
        <v>#N/A</v>
      </c>
      <c r="AH55" s="83">
        <f t="shared" ca="1" si="6"/>
        <v>6741</v>
      </c>
    </row>
    <row r="56" spans="1:34" ht="13.8">
      <c r="A56" s="1" t="s">
        <v>1082</v>
      </c>
      <c r="B56" s="1"/>
      <c r="AE56" s="82"/>
      <c r="AG56" s="1" t="str">
        <f ca="1">IFERROR(__xludf.DUMMYFUNCTION("QUERY(FILTER(Importrange(""1W5sXuVCo-muXq9naQExIQV7xdM6BHYSf-xzYZZUGm78"",""'T.ESCOLAR'!P:P""),Importrange(""1W5sXuVCo-muXq9naQExIQV7xdM6BHYSf-xzYZZUGm78"",""'T.ESCOLAR'!B:B"") =Escolares!A56), ""Select * Limit 10"" , 1)"),"#N/A")</f>
        <v>#N/A</v>
      </c>
      <c r="AH56" s="83"/>
    </row>
    <row r="57" spans="1:34" ht="13.8">
      <c r="A57" s="1" t="s">
        <v>1083</v>
      </c>
      <c r="B57" s="1"/>
      <c r="AE57" s="82"/>
      <c r="AG57" s="1" t="str">
        <f ca="1">IFERROR(__xludf.DUMMYFUNCTION("QUERY(FILTER(Importrange(""1W5sXuVCo-muXq9naQExIQV7xdM6BHYSf-xzYZZUGm78"",""'T.ESCOLAR'!P:P""),Importrange(""1W5sXuVCo-muXq9naQExIQV7xdM6BHYSf-xzYZZUGm78"",""'T.ESCOLAR'!B:B"") =Escolares!A57), ""Select * Limit 10"" , 1)"),"#N/A")</f>
        <v>#N/A</v>
      </c>
      <c r="AH57" s="83"/>
    </row>
    <row r="58" spans="1:34" ht="13.8">
      <c r="A58" s="4" t="s">
        <v>1084</v>
      </c>
      <c r="B58" s="4" t="s">
        <v>1360</v>
      </c>
      <c r="C58" s="4" t="s">
        <v>800</v>
      </c>
      <c r="D58" s="4"/>
      <c r="E58" s="4"/>
      <c r="F58" s="4"/>
      <c r="G58" s="4" t="s">
        <v>1604</v>
      </c>
      <c r="H58" s="4" t="s">
        <v>1605</v>
      </c>
      <c r="I58" s="4">
        <v>18179076</v>
      </c>
      <c r="J58" s="4" t="s">
        <v>1606</v>
      </c>
      <c r="K58" s="4" t="s">
        <v>1401</v>
      </c>
      <c r="L58" s="4">
        <v>1140232804</v>
      </c>
      <c r="M58" s="4"/>
      <c r="N58" s="4" t="s">
        <v>1031</v>
      </c>
      <c r="O58" s="4" t="s">
        <v>1607</v>
      </c>
      <c r="P58" s="4" t="s">
        <v>1608</v>
      </c>
      <c r="Q58" s="4">
        <v>14080355</v>
      </c>
      <c r="R58" s="4">
        <v>14080355</v>
      </c>
      <c r="S58" s="4"/>
      <c r="T58" s="4" t="s">
        <v>1609</v>
      </c>
      <c r="U58" s="4" t="s">
        <v>1401</v>
      </c>
      <c r="V58" s="4" t="s">
        <v>1604</v>
      </c>
      <c r="W58" s="4" t="s">
        <v>1605</v>
      </c>
      <c r="X58" s="4">
        <v>18179076</v>
      </c>
      <c r="Y58" s="4" t="s">
        <v>1606</v>
      </c>
      <c r="Z58" s="4" t="s">
        <v>1401</v>
      </c>
      <c r="AA58" s="4" t="s">
        <v>799</v>
      </c>
      <c r="AB58" s="4" t="s">
        <v>140</v>
      </c>
      <c r="AC58" s="4" t="s">
        <v>532</v>
      </c>
      <c r="AD58" s="4">
        <v>2008</v>
      </c>
      <c r="AE58" s="23">
        <v>39450</v>
      </c>
      <c r="AF58" s="4" t="s">
        <v>487</v>
      </c>
      <c r="AG58" s="1" t="str">
        <f ca="1">IFERROR(__xludf.DUMMYFUNCTION("QUERY(FILTER(Importrange(""1W5sXuVCo-muXq9naQExIQV7xdM6BHYSf-xzYZZUGm78"",""'T.ESCOLAR'!P:P""),Importrange(""1W5sXuVCo-muXq9naQExIQV7xdM6BHYSf-xzYZZUGm78"",""'T.ESCOLAR'!B:B"") =Escolares!A58), ""Select * Limit 10"" , 1)"),"#N/A")</f>
        <v>#N/A</v>
      </c>
      <c r="AH58" s="83"/>
    </row>
    <row r="59" spans="1:34" ht="13.8">
      <c r="A59" s="1" t="s">
        <v>1085</v>
      </c>
      <c r="B59" s="1" t="s">
        <v>1379</v>
      </c>
      <c r="C59" s="1" t="s">
        <v>802</v>
      </c>
      <c r="G59" s="1" t="s">
        <v>1610</v>
      </c>
      <c r="H59" s="1" t="s">
        <v>1611</v>
      </c>
      <c r="I59" s="1">
        <v>16577502</v>
      </c>
      <c r="J59" s="12" t="s">
        <v>551</v>
      </c>
      <c r="K59" s="1" t="s">
        <v>1401</v>
      </c>
      <c r="L59" s="1">
        <v>1149924129</v>
      </c>
      <c r="N59" s="1" t="s">
        <v>1036</v>
      </c>
      <c r="O59" s="1" t="s">
        <v>1610</v>
      </c>
      <c r="P59" s="1" t="s">
        <v>1611</v>
      </c>
      <c r="Q59" s="1">
        <v>16577502</v>
      </c>
      <c r="R59" s="1">
        <v>16577502</v>
      </c>
      <c r="T59" s="12" t="s">
        <v>551</v>
      </c>
      <c r="U59" s="1" t="s">
        <v>1401</v>
      </c>
      <c r="V59" s="1" t="s">
        <v>1610</v>
      </c>
      <c r="W59" s="1" t="s">
        <v>1612</v>
      </c>
      <c r="X59" s="1">
        <v>42292003</v>
      </c>
      <c r="Y59" s="1" t="s">
        <v>1613</v>
      </c>
      <c r="Z59" s="1" t="s">
        <v>1401</v>
      </c>
      <c r="AA59" s="1" t="s">
        <v>552</v>
      </c>
      <c r="AB59" s="1" t="s">
        <v>140</v>
      </c>
      <c r="AC59" s="12" t="s">
        <v>532</v>
      </c>
      <c r="AD59" s="1">
        <v>2008</v>
      </c>
      <c r="AE59" s="24">
        <v>39629</v>
      </c>
      <c r="AF59" s="1" t="s">
        <v>492</v>
      </c>
      <c r="AG59" s="1" t="str">
        <f ca="1">IFERROR(__xludf.DUMMYFUNCTION("QUERY(FILTER(Importrange(""1W5sXuVCo-muXq9naQExIQV7xdM6BHYSf-xzYZZUGm78"",""'T.ESCOLAR'!P:P""),Importrange(""1W5sXuVCo-muXq9naQExIQV7xdM6BHYSf-xzYZZUGm78"",""'T.ESCOLAR'!B:B"") =Escolares!A59), ""Select * Limit 10"" , 1)"),"#N/A")</f>
        <v>#N/A</v>
      </c>
      <c r="AH59" s="83"/>
    </row>
    <row r="60" spans="1:34" ht="13.8">
      <c r="A60" s="1" t="s">
        <v>1086</v>
      </c>
      <c r="B60" s="1" t="s">
        <v>1360</v>
      </c>
      <c r="C60" s="1" t="s">
        <v>639</v>
      </c>
      <c r="G60" s="1" t="s">
        <v>1614</v>
      </c>
      <c r="H60" s="1" t="s">
        <v>1615</v>
      </c>
      <c r="I60" s="1">
        <v>35070853</v>
      </c>
      <c r="J60" s="1" t="s">
        <v>1363</v>
      </c>
      <c r="K60" s="1" t="s">
        <v>1366</v>
      </c>
      <c r="L60" s="1">
        <v>1134938817</v>
      </c>
      <c r="N60" s="1" t="s">
        <v>877</v>
      </c>
      <c r="O60" s="1" t="s">
        <v>1616</v>
      </c>
      <c r="P60" s="1" t="s">
        <v>1617</v>
      </c>
      <c r="Q60" s="1">
        <v>16835217</v>
      </c>
      <c r="R60" s="1">
        <v>16835217</v>
      </c>
      <c r="T60" s="1" t="s">
        <v>1618</v>
      </c>
      <c r="U60" s="1" t="s">
        <v>1619</v>
      </c>
      <c r="V60" s="1" t="s">
        <v>1620</v>
      </c>
      <c r="W60" s="1" t="s">
        <v>1621</v>
      </c>
      <c r="X60" s="1">
        <v>44708029</v>
      </c>
      <c r="Y60" s="1" t="s">
        <v>1622</v>
      </c>
      <c r="Z60" s="1" t="s">
        <v>1366</v>
      </c>
      <c r="AA60" s="1" t="s">
        <v>638</v>
      </c>
      <c r="AB60" s="1" t="s">
        <v>140</v>
      </c>
      <c r="AC60" s="4" t="s">
        <v>572</v>
      </c>
      <c r="AD60" s="1">
        <v>2008</v>
      </c>
      <c r="AE60" s="82">
        <v>39450</v>
      </c>
      <c r="AF60" s="1" t="s">
        <v>500</v>
      </c>
      <c r="AG60" s="1" t="str">
        <f ca="1">IFERROR(__xludf.DUMMYFUNCTION("QUERY(FILTER(Importrange(""1W5sXuVCo-muXq9naQExIQV7xdM6BHYSf-xzYZZUGm78"",""'T.ESCOLAR'!P:P""),Importrange(""1W5sXuVCo-muXq9naQExIQV7xdM6BHYSf-xzYZZUGm78"",""'T.ESCOLAR'!B:B"") =Escolares!A60), ""Select * Limit 10"" , 1)"),"#N/A")</f>
        <v>#N/A</v>
      </c>
      <c r="AH60" s="83">
        <f ca="1">DATEDIF(AE60,TODAY(),  "D")</f>
        <v>6707</v>
      </c>
    </row>
    <row r="61" spans="1:34" ht="13.8">
      <c r="A61" s="1" t="s">
        <v>1087</v>
      </c>
      <c r="B61" s="1" t="s">
        <v>1360</v>
      </c>
      <c r="C61" s="1" t="s">
        <v>820</v>
      </c>
      <c r="AE61" s="82"/>
      <c r="AG61" s="1" t="str">
        <f ca="1">IFERROR(__xludf.DUMMYFUNCTION("QUERY(FILTER(Importrange(""1W5sXuVCo-muXq9naQExIQV7xdM6BHYSf-xzYZZUGm78"",""'T.ESCOLAR'!P:P""),Importrange(""1W5sXuVCo-muXq9naQExIQV7xdM6BHYSf-xzYZZUGm78"",""'T.ESCOLAR'!B:B"") =Escolares!A61), ""Select * Limit 10"" , 1)"),"#N/A")</f>
        <v>#N/A</v>
      </c>
      <c r="AH61" s="83"/>
    </row>
    <row r="62" spans="1:34" ht="13.8">
      <c r="A62" s="1" t="s">
        <v>1088</v>
      </c>
      <c r="B62" s="1"/>
      <c r="AE62" s="82"/>
      <c r="AG62" s="1" t="str">
        <f ca="1">IFERROR(__xludf.DUMMYFUNCTION("QUERY(FILTER(Importrange(""1W5sXuVCo-muXq9naQExIQV7xdM6BHYSf-xzYZZUGm78"",""'T.ESCOLAR'!P:P""),Importrange(""1W5sXuVCo-muXq9naQExIQV7xdM6BHYSf-xzYZZUGm78"",""'T.ESCOLAR'!B:B"") =Escolares!A62), ""Select * Limit 10"" , 1)"),"#N/A")</f>
        <v>#N/A</v>
      </c>
      <c r="AH62" s="83"/>
    </row>
    <row r="63" spans="1:34" ht="13.8">
      <c r="A63" s="1" t="s">
        <v>1089</v>
      </c>
      <c r="B63" s="1" t="s">
        <v>1360</v>
      </c>
      <c r="C63" s="1" t="s">
        <v>641</v>
      </c>
      <c r="G63" s="1" t="s">
        <v>1614</v>
      </c>
      <c r="H63" s="1" t="s">
        <v>1615</v>
      </c>
      <c r="I63" s="1">
        <v>35070853</v>
      </c>
      <c r="J63" s="1" t="s">
        <v>1623</v>
      </c>
      <c r="K63" s="1" t="s">
        <v>1366</v>
      </c>
      <c r="L63" s="1">
        <v>1134938817</v>
      </c>
      <c r="N63" s="1" t="s">
        <v>877</v>
      </c>
      <c r="O63" s="1" t="s">
        <v>1624</v>
      </c>
      <c r="P63" s="1" t="s">
        <v>1625</v>
      </c>
      <c r="Q63" s="1">
        <v>14247955</v>
      </c>
      <c r="R63" s="1">
        <v>14247955</v>
      </c>
      <c r="T63" s="1" t="s">
        <v>1626</v>
      </c>
      <c r="U63" s="1" t="s">
        <v>1627</v>
      </c>
      <c r="V63" s="1" t="s">
        <v>1628</v>
      </c>
      <c r="W63" s="1" t="s">
        <v>1629</v>
      </c>
      <c r="X63" s="1">
        <v>36109588</v>
      </c>
      <c r="Y63" s="1" t="s">
        <v>1630</v>
      </c>
      <c r="Z63" s="1" t="s">
        <v>1631</v>
      </c>
      <c r="AA63" s="1" t="s">
        <v>640</v>
      </c>
      <c r="AB63" s="1" t="s">
        <v>140</v>
      </c>
      <c r="AC63" s="1" t="s">
        <v>532</v>
      </c>
      <c r="AD63" s="1">
        <v>2007</v>
      </c>
      <c r="AE63" s="82">
        <v>39343</v>
      </c>
      <c r="AF63" s="1" t="s">
        <v>558</v>
      </c>
      <c r="AG63" s="1" t="str">
        <f ca="1">IFERROR(__xludf.DUMMYFUNCTION("QUERY(FILTER(Importrange(""1W5sXuVCo-muXq9naQExIQV7xdM6BHYSf-xzYZZUGm78"",""'T.ESCOLAR'!P:P""),Importrange(""1W5sXuVCo-muXq9naQExIQV7xdM6BHYSf-xzYZZUGm78"",""'T.ESCOLAR'!B:B"") =Escolares!A63), ""Select * Limit 10"" , 1)"),"#N/A")</f>
        <v>#N/A</v>
      </c>
      <c r="AH63" s="83">
        <f ca="1">DATEDIF(AE63,TODAY(),  "D")</f>
        <v>6814</v>
      </c>
    </row>
    <row r="64" spans="1:34" ht="13.8">
      <c r="A64" s="1" t="s">
        <v>1090</v>
      </c>
      <c r="B64" s="1"/>
      <c r="AE64" s="82"/>
      <c r="AG64" s="1" t="str">
        <f ca="1">IFERROR(__xludf.DUMMYFUNCTION("QUERY(FILTER(Importrange(""1W5sXuVCo-muXq9naQExIQV7xdM6BHYSf-xzYZZUGm78"",""'T.ESCOLAR'!P:P""),Importrange(""1W5sXuVCo-muXq9naQExIQV7xdM6BHYSf-xzYZZUGm78"",""'T.ESCOLAR'!B:B"") =Escolares!A64), ""Select * Limit 10"" , 1)"),"#N/A")</f>
        <v>#N/A</v>
      </c>
      <c r="AH64" s="83"/>
    </row>
    <row r="65" spans="1:34" ht="13.8">
      <c r="A65" s="1" t="s">
        <v>1091</v>
      </c>
      <c r="B65" s="1" t="s">
        <v>1379</v>
      </c>
      <c r="C65" s="1" t="s">
        <v>1632</v>
      </c>
      <c r="F65" s="84"/>
      <c r="G65" s="1" t="s">
        <v>1633</v>
      </c>
      <c r="H65" s="1" t="s">
        <v>1634</v>
      </c>
      <c r="I65" s="1">
        <v>25872505</v>
      </c>
      <c r="J65" s="1" t="s">
        <v>554</v>
      </c>
      <c r="K65" s="1" t="s">
        <v>1420</v>
      </c>
      <c r="L65" s="1">
        <v>1158735095</v>
      </c>
      <c r="N65" s="1" t="s">
        <v>959</v>
      </c>
      <c r="O65" s="1" t="s">
        <v>1633</v>
      </c>
      <c r="P65" s="1" t="s">
        <v>1634</v>
      </c>
      <c r="Q65" s="1">
        <v>25872505</v>
      </c>
      <c r="R65" s="1">
        <v>25872505</v>
      </c>
      <c r="T65" s="1" t="s">
        <v>554</v>
      </c>
      <c r="U65" s="1" t="s">
        <v>1420</v>
      </c>
      <c r="V65" s="1" t="s">
        <v>1635</v>
      </c>
      <c r="W65" s="1" t="s">
        <v>1636</v>
      </c>
      <c r="X65" s="1">
        <v>18209973</v>
      </c>
      <c r="Y65" s="1" t="s">
        <v>554</v>
      </c>
      <c r="Z65" s="1" t="s">
        <v>1420</v>
      </c>
      <c r="AA65" s="1" t="s">
        <v>556</v>
      </c>
      <c r="AB65" s="1" t="s">
        <v>140</v>
      </c>
      <c r="AC65" s="1" t="s">
        <v>557</v>
      </c>
      <c r="AD65" s="1">
        <v>2008</v>
      </c>
      <c r="AE65" s="82">
        <v>39965</v>
      </c>
      <c r="AF65" s="1" t="s">
        <v>558</v>
      </c>
      <c r="AG65" s="1" t="str">
        <f ca="1">IFERROR(__xludf.DUMMYFUNCTION("QUERY(FILTER(Importrange(""1W5sXuVCo-muXq9naQExIQV7xdM6BHYSf-xzYZZUGm78"",""'T.ESCOLAR'!P:P""),Importrange(""1W5sXuVCo-muXq9naQExIQV7xdM6BHYSf-xzYZZUGm78"",""'T.ESCOLAR'!B:B"") =Escolares!A65), ""Select * Limit 10"" , 1)"),"#N/A")</f>
        <v>#N/A</v>
      </c>
      <c r="AH65" s="83">
        <f ca="1">DATEDIF(AE65,TODAY(),  "D")</f>
        <v>6192</v>
      </c>
    </row>
    <row r="66" spans="1:34" ht="13.8">
      <c r="A66" s="1" t="s">
        <v>1092</v>
      </c>
      <c r="B66" s="1"/>
      <c r="AE66" s="82"/>
      <c r="AG66" s="1" t="str">
        <f ca="1">IFERROR(__xludf.DUMMYFUNCTION("QUERY(FILTER(Importrange(""1W5sXuVCo-muXq9naQExIQV7xdM6BHYSf-xzYZZUGm78"",""'T.ESCOLAR'!P:P""),Importrange(""1W5sXuVCo-muXq9naQExIQV7xdM6BHYSf-xzYZZUGm78"",""'T.ESCOLAR'!B:B"") =Escolares!A66), ""Select * Limit 10"" , 1)"),"#N/A")</f>
        <v>#N/A</v>
      </c>
      <c r="AH66" s="83"/>
    </row>
    <row r="67" spans="1:34" ht="13.8">
      <c r="A67" s="1" t="s">
        <v>1093</v>
      </c>
      <c r="B67" s="1"/>
      <c r="AE67" s="82"/>
      <c r="AG67" s="1" t="str">
        <f ca="1">IFERROR(__xludf.DUMMYFUNCTION("QUERY(FILTER(Importrange(""1W5sXuVCo-muXq9naQExIQV7xdM6BHYSf-xzYZZUGm78"",""'T.ESCOLAR'!P:P""),Importrange(""1W5sXuVCo-muXq9naQExIQV7xdM6BHYSf-xzYZZUGm78"",""'T.ESCOLAR'!B:B"") =Escolares!A67), ""Select * Limit 10"" , 1)"),"#N/A")</f>
        <v>#N/A</v>
      </c>
      <c r="AH67" s="83"/>
    </row>
    <row r="68" spans="1:34" ht="13.8">
      <c r="A68" s="1" t="s">
        <v>1094</v>
      </c>
      <c r="B68" s="1"/>
      <c r="AE68" s="82"/>
      <c r="AG68" s="1" t="str">
        <f ca="1">IFERROR(__xludf.DUMMYFUNCTION("QUERY(FILTER(Importrange(""1W5sXuVCo-muXq9naQExIQV7xdM6BHYSf-xzYZZUGm78"",""'T.ESCOLAR'!P:P""),Importrange(""1W5sXuVCo-muXq9naQExIQV7xdM6BHYSf-xzYZZUGm78"",""'T.ESCOLAR'!B:B"") =Escolares!A68), ""Select * Limit 10"" , 1)"),"#N/A")</f>
        <v>#N/A</v>
      </c>
      <c r="AH68" s="83"/>
    </row>
    <row r="69" spans="1:34" ht="13.8">
      <c r="A69" s="1" t="s">
        <v>1095</v>
      </c>
      <c r="B69" s="1"/>
      <c r="AE69" s="82"/>
      <c r="AG69" s="1" t="str">
        <f ca="1">IFERROR(__xludf.DUMMYFUNCTION("QUERY(FILTER(Importrange(""1W5sXuVCo-muXq9naQExIQV7xdM6BHYSf-xzYZZUGm78"",""'T.ESCOLAR'!P:P""),Importrange(""1W5sXuVCo-muXq9naQExIQV7xdM6BHYSf-xzYZZUGm78"",""'T.ESCOLAR'!B:B"") =Escolares!A69), ""Select * Limit 10"" , 1)"),"#N/A")</f>
        <v>#N/A</v>
      </c>
      <c r="AH69" s="83"/>
    </row>
    <row r="70" spans="1:34" ht="13.8">
      <c r="A70" s="1" t="s">
        <v>1096</v>
      </c>
      <c r="B70" s="1"/>
      <c r="AE70" s="82"/>
      <c r="AG70" s="1" t="str">
        <f ca="1">IFERROR(__xludf.DUMMYFUNCTION("QUERY(FILTER(Importrange(""1W5sXuVCo-muXq9naQExIQV7xdM6BHYSf-xzYZZUGm78"",""'T.ESCOLAR'!P:P""),Importrange(""1W5sXuVCo-muXq9naQExIQV7xdM6BHYSf-xzYZZUGm78"",""'T.ESCOLAR'!B:B"") =Escolares!A70), ""Select * Limit 10"" , 1)"),"#N/A")</f>
        <v>#N/A</v>
      </c>
      <c r="AH70" s="83"/>
    </row>
    <row r="71" spans="1:34" ht="13.8">
      <c r="A71" s="1" t="s">
        <v>1097</v>
      </c>
      <c r="B71" s="1"/>
      <c r="AE71" s="82"/>
      <c r="AG71" s="1" t="str">
        <f ca="1">IFERROR(__xludf.DUMMYFUNCTION("QUERY(FILTER(Importrange(""1W5sXuVCo-muXq9naQExIQV7xdM6BHYSf-xzYZZUGm78"",""'T.ESCOLAR'!P:P""),Importrange(""1W5sXuVCo-muXq9naQExIQV7xdM6BHYSf-xzYZZUGm78"",""'T.ESCOLAR'!B:B"") =Escolares!A71), ""Select * Limit 10"" , 1)"),"#N/A")</f>
        <v>#N/A</v>
      </c>
      <c r="AH71" s="83"/>
    </row>
    <row r="72" spans="1:34" ht="13.8">
      <c r="A72" s="1" t="s">
        <v>1098</v>
      </c>
      <c r="B72" s="1" t="s">
        <v>1379</v>
      </c>
      <c r="C72" s="1" t="s">
        <v>764</v>
      </c>
      <c r="F72" s="84"/>
      <c r="G72" s="1" t="s">
        <v>1386</v>
      </c>
      <c r="H72" s="1" t="s">
        <v>1542</v>
      </c>
      <c r="I72" s="1">
        <v>22982411</v>
      </c>
      <c r="J72" s="1" t="s">
        <v>1637</v>
      </c>
      <c r="K72" s="1" t="s">
        <v>1420</v>
      </c>
      <c r="L72" s="1">
        <v>42671755</v>
      </c>
      <c r="M72" s="1">
        <v>1534843008</v>
      </c>
      <c r="N72" s="1" t="s">
        <v>1638</v>
      </c>
      <c r="O72" s="1" t="s">
        <v>1639</v>
      </c>
      <c r="P72" s="1" t="s">
        <v>1542</v>
      </c>
      <c r="Q72" s="1">
        <v>22982411</v>
      </c>
      <c r="R72" s="1">
        <v>22982411</v>
      </c>
      <c r="S72" s="84"/>
      <c r="T72" s="1" t="s">
        <v>1637</v>
      </c>
      <c r="U72" s="1" t="s">
        <v>1420</v>
      </c>
      <c r="V72" s="1" t="s">
        <v>1640</v>
      </c>
      <c r="W72" s="1" t="s">
        <v>1641</v>
      </c>
      <c r="X72" s="1">
        <v>20021112</v>
      </c>
      <c r="Y72" s="1" t="s">
        <v>1642</v>
      </c>
      <c r="Z72" s="1" t="s">
        <v>1420</v>
      </c>
      <c r="AA72" s="1" t="s">
        <v>561</v>
      </c>
      <c r="AB72" s="1" t="s">
        <v>140</v>
      </c>
      <c r="AC72" s="1" t="s">
        <v>546</v>
      </c>
      <c r="AD72" s="1">
        <v>2009</v>
      </c>
      <c r="AE72" s="82">
        <v>39820</v>
      </c>
      <c r="AF72" s="1" t="s">
        <v>487</v>
      </c>
      <c r="AG72" s="1" t="str">
        <f ca="1">IFERROR(__xludf.DUMMYFUNCTION("QUERY(FILTER(Importrange(""1W5sXuVCo-muXq9naQExIQV7xdM6BHYSf-xzYZZUGm78"",""'T.ESCOLAR'!P:P""),Importrange(""1W5sXuVCo-muXq9naQExIQV7xdM6BHYSf-xzYZZUGm78"",""'T.ESCOLAR'!B:B"") =Escolares!A72), ""Select * Limit 10"" , 1)"),"#N/A")</f>
        <v>#N/A</v>
      </c>
      <c r="AH72" s="83">
        <f ca="1">DATEDIF(AE72,TODAY(),  "D")</f>
        <v>6337</v>
      </c>
    </row>
    <row r="73" spans="1:34" ht="13.8">
      <c r="A73" s="1" t="s">
        <v>1099</v>
      </c>
      <c r="B73" s="1"/>
      <c r="AE73" s="82"/>
      <c r="AG73" s="1" t="str">
        <f ca="1">IFERROR(__xludf.DUMMYFUNCTION("QUERY(FILTER(Importrange(""1W5sXuVCo-muXq9naQExIQV7xdM6BHYSf-xzYZZUGm78"",""'T.ESCOLAR'!P:P""),Importrange(""1W5sXuVCo-muXq9naQExIQV7xdM6BHYSf-xzYZZUGm78"",""'T.ESCOLAR'!B:B"") =Escolares!A73), ""Select * Limit 10"" , 1)"),"#N/A")</f>
        <v>#N/A</v>
      </c>
      <c r="AH73" s="83"/>
    </row>
    <row r="74" spans="1:34" ht="13.8">
      <c r="A74" s="1" t="s">
        <v>1100</v>
      </c>
      <c r="B74" s="1" t="s">
        <v>1379</v>
      </c>
      <c r="C74" s="1" t="s">
        <v>1643</v>
      </c>
      <c r="E74" s="84"/>
      <c r="G74" s="4" t="s">
        <v>1644</v>
      </c>
      <c r="H74" s="1" t="s">
        <v>1645</v>
      </c>
      <c r="I74" s="1">
        <v>18556046</v>
      </c>
      <c r="J74" s="1" t="s">
        <v>1646</v>
      </c>
      <c r="K74" s="1" t="s">
        <v>1401</v>
      </c>
      <c r="L74" s="1">
        <v>1168156699</v>
      </c>
      <c r="N74" s="1" t="s">
        <v>1647</v>
      </c>
      <c r="O74" s="1" t="s">
        <v>1644</v>
      </c>
      <c r="P74" s="1" t="s">
        <v>1645</v>
      </c>
      <c r="Q74" s="1">
        <v>18556046</v>
      </c>
      <c r="R74" s="1">
        <v>18556046</v>
      </c>
      <c r="S74" s="84"/>
      <c r="T74" s="1" t="s">
        <v>1646</v>
      </c>
      <c r="U74" s="1" t="s">
        <v>1401</v>
      </c>
      <c r="V74" s="1" t="s">
        <v>1648</v>
      </c>
      <c r="W74" s="1" t="s">
        <v>1649</v>
      </c>
      <c r="X74" s="1">
        <v>18556046</v>
      </c>
      <c r="Y74" s="1" t="s">
        <v>1650</v>
      </c>
      <c r="Z74" s="1" t="s">
        <v>1401</v>
      </c>
      <c r="AA74" s="1" t="s">
        <v>562</v>
      </c>
      <c r="AB74" s="1" t="s">
        <v>140</v>
      </c>
      <c r="AC74" s="1" t="s">
        <v>546</v>
      </c>
      <c r="AD74" s="1">
        <v>2008</v>
      </c>
      <c r="AE74" s="82">
        <v>39450</v>
      </c>
      <c r="AF74" s="1" t="s">
        <v>558</v>
      </c>
      <c r="AH74" s="83">
        <f ca="1">DATEDIF(AE74,TODAY(),  "D")</f>
        <v>6707</v>
      </c>
    </row>
    <row r="75" spans="1:34" ht="13.8">
      <c r="A75" s="1" t="s">
        <v>1101</v>
      </c>
      <c r="B75" s="1" t="s">
        <v>1379</v>
      </c>
      <c r="C75" s="12" t="s">
        <v>668</v>
      </c>
      <c r="N75" s="1" t="s">
        <v>1651</v>
      </c>
      <c r="AE75" s="82"/>
      <c r="AG75" s="1" t="str">
        <f ca="1">IFERROR(__xludf.DUMMYFUNCTION("QUERY(FILTER(Importrange(""1W5sXuVCo-muXq9naQExIQV7xdM6BHYSf-xzYZZUGm78"",""'T.ESCOLAR'!P:P""),Importrange(""1W5sXuVCo-muXq9naQExIQV7xdM6BHYSf-xzYZZUGm78"",""'T.ESCOLAR'!B:B"") =Escolares!A75), ""Select * Limit 10"" , 1)"),"#N/A")</f>
        <v>#N/A</v>
      </c>
      <c r="AH75" s="83"/>
    </row>
    <row r="76" spans="1:34" ht="13.8">
      <c r="A76" s="1" t="s">
        <v>1102</v>
      </c>
      <c r="B76" s="1"/>
      <c r="C76" s="12"/>
      <c r="I76" s="1"/>
      <c r="AE76" s="82"/>
      <c r="AG76" s="1" t="str">
        <f ca="1">IFERROR(__xludf.DUMMYFUNCTION("QUERY(FILTER(Importrange(""1W5sXuVCo-muXq9naQExIQV7xdM6BHYSf-xzYZZUGm78"",""'T.ESCOLAR'!P:P""),Importrange(""1W5sXuVCo-muXq9naQExIQV7xdM6BHYSf-xzYZZUGm78"",""'T.ESCOLAR'!B:B"") =Escolares!A76), ""Select * Limit 10"" , 1)"),"#N/A")</f>
        <v>#N/A</v>
      </c>
      <c r="AH76" s="83">
        <f t="shared" ref="AH76:AH77" ca="1" si="7">DATEDIF(AE76,TODAY(),  "D")</f>
        <v>46157</v>
      </c>
    </row>
    <row r="77" spans="1:34" ht="13.8">
      <c r="A77" s="1" t="s">
        <v>1103</v>
      </c>
      <c r="B77" s="1" t="s">
        <v>1379</v>
      </c>
      <c r="C77" s="4" t="s">
        <v>1652</v>
      </c>
      <c r="G77" s="4" t="s">
        <v>1653</v>
      </c>
      <c r="H77" s="1" t="s">
        <v>1654</v>
      </c>
      <c r="I77" s="1">
        <v>27757441</v>
      </c>
      <c r="J77" s="1" t="s">
        <v>564</v>
      </c>
      <c r="K77" s="1" t="s">
        <v>1401</v>
      </c>
      <c r="L77" s="1">
        <v>1164222763</v>
      </c>
      <c r="N77" s="1" t="s">
        <v>963</v>
      </c>
      <c r="O77" s="1" t="s">
        <v>1655</v>
      </c>
      <c r="P77" s="1" t="s">
        <v>1656</v>
      </c>
      <c r="Q77" s="1">
        <v>27193488</v>
      </c>
      <c r="R77" s="1">
        <v>27193488</v>
      </c>
      <c r="S77" s="82">
        <v>45246</v>
      </c>
      <c r="T77" s="1" t="s">
        <v>564</v>
      </c>
      <c r="U77" s="1" t="s">
        <v>1401</v>
      </c>
      <c r="V77" s="4" t="s">
        <v>1653</v>
      </c>
      <c r="W77" s="1" t="s">
        <v>1654</v>
      </c>
      <c r="X77" s="1">
        <v>27757441</v>
      </c>
      <c r="Y77" s="1" t="s">
        <v>564</v>
      </c>
      <c r="Z77" s="1" t="s">
        <v>1401</v>
      </c>
      <c r="AA77" s="1" t="s">
        <v>565</v>
      </c>
      <c r="AB77" s="4" t="s">
        <v>140</v>
      </c>
      <c r="AC77" s="4" t="s">
        <v>566</v>
      </c>
      <c r="AD77" s="4">
        <v>2008</v>
      </c>
      <c r="AE77" s="87">
        <v>39463</v>
      </c>
      <c r="AF77" s="4" t="s">
        <v>513</v>
      </c>
      <c r="AG77" s="1" t="str">
        <f ca="1">IFERROR(__xludf.DUMMYFUNCTION("QUERY(FILTER(Importrange(""1W5sXuVCo-muXq9naQExIQV7xdM6BHYSf-xzYZZUGm78"",""'T.ESCOLAR'!P:P""),Importrange(""1W5sXuVCo-muXq9naQExIQV7xdM6BHYSf-xzYZZUGm78"",""'T.ESCOLAR'!B:B"") =Escolares!A77), ""Select * Limit 10"" , 1)"),"#N/A")</f>
        <v>#N/A</v>
      </c>
      <c r="AH77" s="83">
        <f t="shared" ca="1" si="7"/>
        <v>6694</v>
      </c>
    </row>
    <row r="78" spans="1:34" ht="13.8">
      <c r="A78" s="1" t="s">
        <v>1104</v>
      </c>
      <c r="B78" s="1"/>
      <c r="AE78" s="82"/>
      <c r="AG78" s="1" t="str">
        <f ca="1">IFERROR(__xludf.DUMMYFUNCTION("QUERY(FILTER(Importrange(""1W5sXuVCo-muXq9naQExIQV7xdM6BHYSf-xzYZZUGm78"",""'T.ESCOLAR'!P:P""),Importrange(""1W5sXuVCo-muXq9naQExIQV7xdM6BHYSf-xzYZZUGm78"",""'T.ESCOLAR'!B:B"") =Escolares!A78), ""Select * Limit 10"" , 1)"),"#N/A")</f>
        <v>#N/A</v>
      </c>
      <c r="AH78" s="83"/>
    </row>
    <row r="79" spans="1:34" ht="13.8">
      <c r="A79" s="1" t="s">
        <v>1105</v>
      </c>
      <c r="B79" s="1" t="s">
        <v>1379</v>
      </c>
      <c r="C79" s="12" t="s">
        <v>672</v>
      </c>
      <c r="N79" s="1" t="s">
        <v>1651</v>
      </c>
      <c r="AE79" s="82"/>
      <c r="AG79" s="1" t="str">
        <f ca="1">IFERROR(__xludf.DUMMYFUNCTION("QUERY(FILTER(Importrange(""1W5sXuVCo-muXq9naQExIQV7xdM6BHYSf-xzYZZUGm78"",""'T.ESCOLAR'!P:P""),Importrange(""1W5sXuVCo-muXq9naQExIQV7xdM6BHYSf-xzYZZUGm78"",""'T.ESCOLAR'!B:B"") =Escolares!A79), ""Select * Limit 10"" , 1)"),"#N/A")</f>
        <v>#N/A</v>
      </c>
      <c r="AH79" s="83"/>
    </row>
    <row r="80" spans="1:34" ht="13.8">
      <c r="A80" s="1" t="s">
        <v>1106</v>
      </c>
      <c r="B80" s="1" t="s">
        <v>1379</v>
      </c>
      <c r="C80" s="1" t="s">
        <v>1657</v>
      </c>
      <c r="F80" s="84"/>
      <c r="G80" s="16" t="s">
        <v>1658</v>
      </c>
      <c r="H80" s="1" t="s">
        <v>1659</v>
      </c>
      <c r="I80" s="88">
        <v>21738587</v>
      </c>
      <c r="J80" s="16" t="s">
        <v>1660</v>
      </c>
      <c r="K80" s="91" t="s">
        <v>1401</v>
      </c>
      <c r="L80" s="1">
        <v>1544058227</v>
      </c>
      <c r="N80" s="1" t="s">
        <v>1020</v>
      </c>
      <c r="O80" s="16" t="s">
        <v>1658</v>
      </c>
      <c r="P80" s="1" t="s">
        <v>1659</v>
      </c>
      <c r="Q80" s="88">
        <v>21738587</v>
      </c>
      <c r="R80" s="88">
        <v>21738587</v>
      </c>
      <c r="T80" s="16" t="s">
        <v>1660</v>
      </c>
      <c r="U80" s="91" t="s">
        <v>1401</v>
      </c>
      <c r="V80" s="1" t="s">
        <v>1661</v>
      </c>
      <c r="W80" s="1" t="s">
        <v>1662</v>
      </c>
      <c r="X80" s="1">
        <v>22722693</v>
      </c>
      <c r="Y80" s="16" t="s">
        <v>1660</v>
      </c>
      <c r="Z80" s="91" t="s">
        <v>1401</v>
      </c>
      <c r="AA80" s="1" t="s">
        <v>567</v>
      </c>
      <c r="AB80" s="1" t="s">
        <v>140</v>
      </c>
      <c r="AC80" s="1" t="s">
        <v>675</v>
      </c>
      <c r="AD80" s="1">
        <v>2010</v>
      </c>
      <c r="AE80" s="82">
        <v>40210</v>
      </c>
      <c r="AF80" s="1" t="s">
        <v>500</v>
      </c>
      <c r="AG80" s="1" t="str">
        <f ca="1">IFERROR(__xludf.DUMMYFUNCTION("QUERY(FILTER(Importrange(""1W5sXuVCo-muXq9naQExIQV7xdM6BHYSf-xzYZZUGm78"",""'T.ESCOLAR'!P:P""),Importrange(""1W5sXuVCo-muXq9naQExIQV7xdM6BHYSf-xzYZZUGm78"",""'T.ESCOLAR'!B:B"") =Escolares!A80), ""Select * Limit 10"" , 1)"),"#N/A")</f>
        <v>#N/A</v>
      </c>
      <c r="AH80" s="83">
        <f ca="1">DATEDIF(AE80,TODAY(),  "D")</f>
        <v>5947</v>
      </c>
    </row>
    <row r="81" spans="1:34" ht="13.8">
      <c r="A81" s="1" t="s">
        <v>1107</v>
      </c>
      <c r="B81" s="1"/>
      <c r="AE81" s="82"/>
      <c r="AG81" s="1" t="str">
        <f ca="1">IFERROR(__xludf.DUMMYFUNCTION("QUERY(FILTER(Importrange(""1W5sXuVCo-muXq9naQExIQV7xdM6BHYSf-xzYZZUGm78"",""'T.ESCOLAR'!P:P""),Importrange(""1W5sXuVCo-muXq9naQExIQV7xdM6BHYSf-xzYZZUGm78"",""'T.ESCOLAR'!B:B"") =Escolares!A81), ""Select * Limit 10"" , 1)"),"#N/A")</f>
        <v>#N/A</v>
      </c>
      <c r="AH81" s="83"/>
    </row>
    <row r="82" spans="1:34" ht="13.8">
      <c r="A82" s="1" t="s">
        <v>1108</v>
      </c>
      <c r="B82" s="1" t="s">
        <v>1379</v>
      </c>
      <c r="C82" s="1" t="s">
        <v>657</v>
      </c>
      <c r="G82" s="1" t="s">
        <v>1663</v>
      </c>
      <c r="H82" s="1" t="s">
        <v>1664</v>
      </c>
      <c r="I82" s="1">
        <v>16831877</v>
      </c>
      <c r="J82" s="1" t="s">
        <v>1665</v>
      </c>
      <c r="K82" s="1" t="s">
        <v>1394</v>
      </c>
      <c r="L82" s="1">
        <v>1156669970</v>
      </c>
      <c r="N82" s="1" t="s">
        <v>1666</v>
      </c>
      <c r="O82" s="1" t="s">
        <v>1663</v>
      </c>
      <c r="P82" s="1" t="s">
        <v>1664</v>
      </c>
      <c r="Q82" s="1">
        <v>16831877</v>
      </c>
      <c r="R82" s="1">
        <v>16831877</v>
      </c>
      <c r="T82" s="1" t="s">
        <v>1665</v>
      </c>
      <c r="U82" s="1" t="s">
        <v>1394</v>
      </c>
      <c r="V82" s="1" t="s">
        <v>1667</v>
      </c>
      <c r="W82" s="1" t="s">
        <v>1668</v>
      </c>
      <c r="X82" s="1">
        <v>30778938</v>
      </c>
      <c r="Y82" s="1" t="s">
        <v>1669</v>
      </c>
      <c r="Z82" s="1" t="s">
        <v>1394</v>
      </c>
      <c r="AA82" s="1" t="s">
        <v>655</v>
      </c>
      <c r="AB82" s="1" t="s">
        <v>12</v>
      </c>
      <c r="AC82" s="1" t="s">
        <v>656</v>
      </c>
      <c r="AD82" s="1">
        <v>1999</v>
      </c>
      <c r="AE82" s="82">
        <v>36315</v>
      </c>
      <c r="AF82" s="1" t="s">
        <v>500</v>
      </c>
      <c r="AG82" s="1" t="str">
        <f ca="1">IFERROR(__xludf.DUMMYFUNCTION("QUERY(FILTER(Importrange(""1W5sXuVCo-muXq9naQExIQV7xdM6BHYSf-xzYZZUGm78"",""'T.ESCOLAR'!P:P""),Importrange(""1W5sXuVCo-muXq9naQExIQV7xdM6BHYSf-xzYZZUGm78"",""'T.ESCOLAR'!B:B"") =Escolares!A82), ""Select * Limit 10"" , 1)"),"#N/A")</f>
        <v>#N/A</v>
      </c>
      <c r="AH82" s="83"/>
    </row>
    <row r="83" spans="1:34" ht="13.8">
      <c r="A83" s="1" t="s">
        <v>1109</v>
      </c>
      <c r="B83" s="1"/>
      <c r="AE83" s="82"/>
      <c r="AG83" s="1" t="str">
        <f ca="1">IFERROR(__xludf.DUMMYFUNCTION("QUERY(FILTER(Importrange(""1W5sXuVCo-muXq9naQExIQV7xdM6BHYSf-xzYZZUGm78"",""'T.ESCOLAR'!P:P""),Importrange(""1W5sXuVCo-muXq9naQExIQV7xdM6BHYSf-xzYZZUGm78"",""'T.ESCOLAR'!B:B"") =Escolares!A83), ""Select * Limit 10"" , 1)"),"#N/A")</f>
        <v>#N/A</v>
      </c>
      <c r="AH83" s="83"/>
    </row>
    <row r="84" spans="1:34" ht="13.8">
      <c r="A84" s="1" t="s">
        <v>1110</v>
      </c>
      <c r="B84" s="1"/>
      <c r="AE84" s="82"/>
      <c r="AG84" s="1" t="str">
        <f ca="1">IFERROR(__xludf.DUMMYFUNCTION("QUERY(FILTER(Importrange(""1W5sXuVCo-muXq9naQExIQV7xdM6BHYSf-xzYZZUGm78"",""'T.ESCOLAR'!P:P""),Importrange(""1W5sXuVCo-muXq9naQExIQV7xdM6BHYSf-xzYZZUGm78"",""'T.ESCOLAR'!B:B"") =Escolares!A84), ""Select * Limit 10"" , 1)"),"#N/A")</f>
        <v>#N/A</v>
      </c>
      <c r="AH84" s="83"/>
    </row>
    <row r="85" spans="1:34" ht="13.8">
      <c r="A85" s="1" t="s">
        <v>1111</v>
      </c>
      <c r="B85" s="1" t="s">
        <v>1379</v>
      </c>
      <c r="C85" s="1" t="s">
        <v>627</v>
      </c>
      <c r="G85" s="1" t="s">
        <v>1670</v>
      </c>
      <c r="H85" s="1" t="s">
        <v>1671</v>
      </c>
      <c r="I85" s="1">
        <v>22606584</v>
      </c>
      <c r="J85" s="1" t="s">
        <v>1672</v>
      </c>
      <c r="K85" s="91" t="s">
        <v>1394</v>
      </c>
      <c r="L85" s="1">
        <v>1169392499</v>
      </c>
      <c r="N85" s="1" t="s">
        <v>1034</v>
      </c>
      <c r="O85" s="1" t="s">
        <v>1435</v>
      </c>
      <c r="P85" s="1" t="s">
        <v>1436</v>
      </c>
      <c r="Q85" s="1">
        <v>22498189</v>
      </c>
      <c r="R85" s="1">
        <v>22498189</v>
      </c>
      <c r="T85" s="1" t="s">
        <v>1672</v>
      </c>
      <c r="U85" s="1" t="s">
        <v>1394</v>
      </c>
      <c r="V85" s="1" t="s">
        <v>1670</v>
      </c>
      <c r="W85" s="1" t="s">
        <v>1671</v>
      </c>
      <c r="X85" s="1">
        <v>22606584</v>
      </c>
      <c r="Y85" s="1" t="s">
        <v>1672</v>
      </c>
      <c r="Z85" s="1" t="s">
        <v>1394</v>
      </c>
      <c r="AA85" s="1" t="s">
        <v>626</v>
      </c>
      <c r="AB85" s="1" t="s">
        <v>504</v>
      </c>
      <c r="AC85" s="1" t="s">
        <v>505</v>
      </c>
      <c r="AD85" s="1">
        <v>2006</v>
      </c>
      <c r="AE85" s="82">
        <v>38952</v>
      </c>
      <c r="AF85" s="1" t="s">
        <v>487</v>
      </c>
      <c r="AG85" s="1" t="str">
        <f ca="1">IFERROR(__xludf.DUMMYFUNCTION("QUERY(FILTER(Importrange(""1W5sXuVCo-muXq9naQExIQV7xdM6BHYSf-xzYZZUGm78"",""'T.ESCOLAR'!P:P""),Importrange(""1W5sXuVCo-muXq9naQExIQV7xdM6BHYSf-xzYZZUGm78"",""'T.ESCOLAR'!B:B"") =Escolares!A85), ""Select * Limit 10"" , 1)"),"#N/A")</f>
        <v>#N/A</v>
      </c>
      <c r="AH85" s="83">
        <f ca="1">DATEDIF(AE85,TODAY(),  "D")</f>
        <v>7205</v>
      </c>
    </row>
    <row r="86" spans="1:34" ht="13.8">
      <c r="A86" s="1" t="s">
        <v>1112</v>
      </c>
      <c r="B86" s="1"/>
      <c r="AE86" s="82"/>
      <c r="AG86" s="1" t="str">
        <f ca="1">IFERROR(__xludf.DUMMYFUNCTION("QUERY(FILTER(Importrange(""1W5sXuVCo-muXq9naQExIQV7xdM6BHYSf-xzYZZUGm78"",""'T.ESCOLAR'!P:P""),Importrange(""1W5sXuVCo-muXq9naQExIQV7xdM6BHYSf-xzYZZUGm78"",""'T.ESCOLAR'!B:B"") =Escolares!A86), ""Select * Limit 10"" , 1)"),"#N/A")</f>
        <v>#N/A</v>
      </c>
      <c r="AH86" s="83"/>
    </row>
    <row r="87" spans="1:34" ht="13.8">
      <c r="A87" s="1" t="s">
        <v>1113</v>
      </c>
      <c r="B87" s="1"/>
      <c r="AE87" s="82"/>
      <c r="AG87" s="1" t="str">
        <f ca="1">IFERROR(__xludf.DUMMYFUNCTION("QUERY(FILTER(Importrange(""1W5sXuVCo-muXq9naQExIQV7xdM6BHYSf-xzYZZUGm78"",""'T.ESCOLAR'!P:P""),Importrange(""1W5sXuVCo-muXq9naQExIQV7xdM6BHYSf-xzYZZUGm78"",""'T.ESCOLAR'!B:B"") =Escolares!A87), ""Select * Limit 10"" , 1)"),"#N/A")</f>
        <v>#N/A</v>
      </c>
      <c r="AH87" s="83"/>
    </row>
    <row r="88" spans="1:34" ht="13.8">
      <c r="A88" s="1" t="s">
        <v>1114</v>
      </c>
      <c r="B88" s="1"/>
      <c r="AE88" s="82"/>
      <c r="AG88" s="1" t="str">
        <f ca="1">IFERROR(__xludf.DUMMYFUNCTION("QUERY(FILTER(Importrange(""1W5sXuVCo-muXq9naQExIQV7xdM6BHYSf-xzYZZUGm78"",""'T.ESCOLAR'!P:P""),Importrange(""1W5sXuVCo-muXq9naQExIQV7xdM6BHYSf-xzYZZUGm78"",""'T.ESCOLAR'!B:B"") =Escolares!A88), ""Select * Limit 10"" , 1)"),"#N/A")</f>
        <v>#N/A</v>
      </c>
      <c r="AH88" s="83"/>
    </row>
    <row r="89" spans="1:34" ht="13.8">
      <c r="A89" s="1" t="s">
        <v>1115</v>
      </c>
      <c r="B89" s="1"/>
      <c r="AE89" s="82"/>
      <c r="AG89" s="1" t="str">
        <f ca="1">IFERROR(__xludf.DUMMYFUNCTION("QUERY(FILTER(Importrange(""1W5sXuVCo-muXq9naQExIQV7xdM6BHYSf-xzYZZUGm78"",""'T.ESCOLAR'!P:P""),Importrange(""1W5sXuVCo-muXq9naQExIQV7xdM6BHYSf-xzYZZUGm78"",""'T.ESCOLAR'!B:B"") =Escolares!A89), ""Select * Limit 10"" , 1)"),"#N/A")</f>
        <v>#N/A</v>
      </c>
      <c r="AH89" s="83"/>
    </row>
    <row r="90" spans="1:34" ht="13.8">
      <c r="A90" s="1" t="s">
        <v>1116</v>
      </c>
      <c r="B90" s="1" t="s">
        <v>1597</v>
      </c>
      <c r="C90" s="1" t="s">
        <v>648</v>
      </c>
      <c r="G90" s="1" t="s">
        <v>1576</v>
      </c>
      <c r="H90" s="1" t="s">
        <v>1577</v>
      </c>
      <c r="I90" s="1">
        <v>25969725</v>
      </c>
      <c r="J90" s="1" t="s">
        <v>1578</v>
      </c>
      <c r="K90" s="1" t="s">
        <v>1420</v>
      </c>
      <c r="L90" s="1">
        <v>1163838939</v>
      </c>
      <c r="N90" s="1" t="s">
        <v>1579</v>
      </c>
      <c r="O90" s="1" t="s">
        <v>1576</v>
      </c>
      <c r="P90" s="1" t="s">
        <v>1577</v>
      </c>
      <c r="Q90" s="1">
        <v>25969725</v>
      </c>
      <c r="R90" s="1">
        <v>25969725</v>
      </c>
      <c r="T90" s="1" t="s">
        <v>1578</v>
      </c>
      <c r="U90" s="1" t="s">
        <v>1420</v>
      </c>
      <c r="V90" s="1" t="s">
        <v>1673</v>
      </c>
      <c r="W90" s="1" t="s">
        <v>1581</v>
      </c>
      <c r="X90" s="1">
        <v>27625267</v>
      </c>
      <c r="Y90" s="1" t="s">
        <v>1578</v>
      </c>
      <c r="Z90" s="1" t="s">
        <v>1420</v>
      </c>
      <c r="AA90" s="1" t="s">
        <v>647</v>
      </c>
      <c r="AB90" s="1" t="s">
        <v>504</v>
      </c>
      <c r="AC90" s="4" t="s">
        <v>505</v>
      </c>
      <c r="AD90" s="1">
        <v>2007</v>
      </c>
      <c r="AE90" s="87">
        <v>39311</v>
      </c>
      <c r="AF90" s="1" t="s">
        <v>492</v>
      </c>
      <c r="AG90" s="1" t="str">
        <f ca="1">IFERROR(__xludf.DUMMYFUNCTION("QUERY(FILTER(Importrange(""1W5sXuVCo-muXq9naQExIQV7xdM6BHYSf-xzYZZUGm78"",""'T.ESCOLAR'!P:P""),Importrange(""1W5sXuVCo-muXq9naQExIQV7xdM6BHYSf-xzYZZUGm78"",""'T.ESCOLAR'!B:B"") =Escolares!A90), ""Select * Limit 10"" , 1)"),"#N/A")</f>
        <v>#N/A</v>
      </c>
      <c r="AH90" s="83">
        <f ca="1">DATEDIF(AE90,TODAY(),  "D")</f>
        <v>6846</v>
      </c>
    </row>
    <row r="91" spans="1:34" ht="13.8">
      <c r="A91" s="1" t="s">
        <v>1117</v>
      </c>
      <c r="B91" s="1"/>
      <c r="AE91" s="82"/>
      <c r="AG91" s="1" t="str">
        <f ca="1">IFERROR(__xludf.DUMMYFUNCTION("QUERY(FILTER(Importrange(""1W5sXuVCo-muXq9naQExIQV7xdM6BHYSf-xzYZZUGm78"",""'T.ESCOLAR'!P:P""),Importrange(""1W5sXuVCo-muXq9naQExIQV7xdM6BHYSf-xzYZZUGm78"",""'T.ESCOLAR'!B:B"") =Escolares!A91), ""Select * Limit 10"" , 1)"),"#N/A")</f>
        <v>#N/A</v>
      </c>
      <c r="AH91" s="83"/>
    </row>
    <row r="92" spans="1:34" ht="13.8">
      <c r="A92" s="1" t="s">
        <v>1118</v>
      </c>
      <c r="B92" s="1"/>
      <c r="AE92" s="82"/>
      <c r="AG92" s="1" t="str">
        <f ca="1">IFERROR(__xludf.DUMMYFUNCTION("QUERY(FILTER(Importrange(""1W5sXuVCo-muXq9naQExIQV7xdM6BHYSf-xzYZZUGm78"",""'T.ESCOLAR'!P:P""),Importrange(""1W5sXuVCo-muXq9naQExIQV7xdM6BHYSf-xzYZZUGm78"",""'T.ESCOLAR'!B:B"") =Escolares!A92), ""Select * Limit 10"" , 1)"),"#N/A")</f>
        <v>#N/A</v>
      </c>
      <c r="AH92" s="83"/>
    </row>
    <row r="93" spans="1:34" ht="13.8">
      <c r="A93" s="1" t="s">
        <v>1119</v>
      </c>
      <c r="B93" s="1"/>
      <c r="AE93" s="82"/>
      <c r="AG93" s="1" t="str">
        <f ca="1">IFERROR(__xludf.DUMMYFUNCTION("QUERY(FILTER(Importrange(""1W5sXuVCo-muXq9naQExIQV7xdM6BHYSf-xzYZZUGm78"",""'T.ESCOLAR'!P:P""),Importrange(""1W5sXuVCo-muXq9naQExIQV7xdM6BHYSf-xzYZZUGm78"",""'T.ESCOLAR'!B:B"") =Escolares!A93), ""Select * Limit 10"" , 1)"),"#N/A")</f>
        <v>#N/A</v>
      </c>
      <c r="AH93" s="83"/>
    </row>
    <row r="94" spans="1:34" ht="13.8">
      <c r="A94" s="1" t="s">
        <v>1120</v>
      </c>
      <c r="B94" s="1"/>
      <c r="AE94" s="82"/>
      <c r="AG94" s="1" t="str">
        <f ca="1">IFERROR(__xludf.DUMMYFUNCTION("QUERY(FILTER(Importrange(""1W5sXuVCo-muXq9naQExIQV7xdM6BHYSf-xzYZZUGm78"",""'T.ESCOLAR'!P:P""),Importrange(""1W5sXuVCo-muXq9naQExIQV7xdM6BHYSf-xzYZZUGm78"",""'T.ESCOLAR'!B:B"") =Escolares!A94), ""Select * Limit 10"" , 1)"),"#N/A")</f>
        <v>#N/A</v>
      </c>
      <c r="AH94" s="83"/>
    </row>
    <row r="95" spans="1:34" ht="13.8">
      <c r="A95" s="1" t="s">
        <v>1121</v>
      </c>
      <c r="B95" s="1" t="s">
        <v>1379</v>
      </c>
      <c r="C95" s="1" t="s">
        <v>1674</v>
      </c>
      <c r="G95" s="1" t="s">
        <v>1635</v>
      </c>
      <c r="H95" s="1" t="s">
        <v>1636</v>
      </c>
      <c r="I95" s="1">
        <v>18209973</v>
      </c>
      <c r="J95" s="1" t="s">
        <v>554</v>
      </c>
      <c r="K95" s="1" t="s">
        <v>1420</v>
      </c>
      <c r="L95" s="1">
        <v>1155989423</v>
      </c>
      <c r="N95" s="1" t="s">
        <v>955</v>
      </c>
      <c r="O95" s="1" t="s">
        <v>1635</v>
      </c>
      <c r="P95" s="1" t="s">
        <v>1636</v>
      </c>
      <c r="Q95" s="1">
        <v>18209973</v>
      </c>
      <c r="R95" s="1">
        <v>18209973</v>
      </c>
      <c r="S95" s="84"/>
      <c r="T95" s="1" t="s">
        <v>554</v>
      </c>
      <c r="U95" s="1" t="s">
        <v>1420</v>
      </c>
      <c r="V95" s="1" t="s">
        <v>1633</v>
      </c>
      <c r="W95" s="1" t="s">
        <v>1634</v>
      </c>
      <c r="X95" s="1">
        <v>25872505</v>
      </c>
      <c r="Y95" s="1" t="s">
        <v>554</v>
      </c>
      <c r="AA95" s="1" t="s">
        <v>568</v>
      </c>
      <c r="AB95" s="1" t="s">
        <v>140</v>
      </c>
      <c r="AC95" s="1" t="s">
        <v>546</v>
      </c>
      <c r="AD95" s="1">
        <v>2008</v>
      </c>
      <c r="AE95" s="82">
        <v>39448</v>
      </c>
      <c r="AF95" s="1" t="s">
        <v>558</v>
      </c>
      <c r="AG95" s="1" t="str">
        <f ca="1">IFERROR(__xludf.DUMMYFUNCTION("QUERY(FILTER(Importrange(""1W5sXuVCo-muXq9naQExIQV7xdM6BHYSf-xzYZZUGm78"",""'T.ESCOLAR'!P:P""),Importrange(""1W5sXuVCo-muXq9naQExIQV7xdM6BHYSf-xzYZZUGm78"",""'T.ESCOLAR'!B:B"") =Escolares!A95), ""Select * Limit 10"" , 1)"),"#N/A")</f>
        <v>#N/A</v>
      </c>
      <c r="AH95" s="83">
        <f t="shared" ref="AH95:AH96" ca="1" si="8">DATEDIF(AE95,TODAY(),  "D")</f>
        <v>6709</v>
      </c>
    </row>
    <row r="96" spans="1:34" ht="13.8">
      <c r="A96" s="1" t="s">
        <v>1122</v>
      </c>
      <c r="B96" s="1" t="s">
        <v>1379</v>
      </c>
      <c r="C96" s="1" t="s">
        <v>646</v>
      </c>
      <c r="G96" s="1" t="s">
        <v>1675</v>
      </c>
      <c r="H96" s="1" t="s">
        <v>1372</v>
      </c>
      <c r="I96" s="1">
        <v>16266220</v>
      </c>
      <c r="J96" s="1" t="s">
        <v>1363</v>
      </c>
      <c r="K96" s="1" t="s">
        <v>1366</v>
      </c>
      <c r="L96" s="1">
        <v>1134938817</v>
      </c>
      <c r="N96" s="1" t="s">
        <v>877</v>
      </c>
      <c r="O96" s="1" t="s">
        <v>1365</v>
      </c>
      <c r="P96" s="1" t="s">
        <v>1676</v>
      </c>
      <c r="Q96" s="1">
        <v>31079797</v>
      </c>
      <c r="R96" s="1">
        <v>31079797</v>
      </c>
      <c r="T96" s="1" t="s">
        <v>1363</v>
      </c>
      <c r="U96" s="1" t="s">
        <v>1366</v>
      </c>
      <c r="V96" s="1" t="s">
        <v>1677</v>
      </c>
      <c r="W96" s="1" t="s">
        <v>1678</v>
      </c>
      <c r="X96" s="1">
        <v>24979422</v>
      </c>
      <c r="Y96" s="1" t="s">
        <v>1679</v>
      </c>
      <c r="Z96" s="1" t="s">
        <v>1366</v>
      </c>
      <c r="AA96" s="1" t="s">
        <v>644</v>
      </c>
      <c r="AB96" s="1" t="s">
        <v>140</v>
      </c>
      <c r="AC96" s="1" t="s">
        <v>1680</v>
      </c>
      <c r="AD96" s="1">
        <v>1999</v>
      </c>
      <c r="AE96" s="82">
        <v>36949</v>
      </c>
      <c r="AF96" s="1" t="s">
        <v>632</v>
      </c>
      <c r="AG96" s="1" t="str">
        <f ca="1">IFERROR(__xludf.DUMMYFUNCTION("QUERY(FILTER(Importrange(""1W5sXuVCo-muXq9naQExIQV7xdM6BHYSf-xzYZZUGm78"",""'T.ESCOLAR'!P:P""),Importrange(""1W5sXuVCo-muXq9naQExIQV7xdM6BHYSf-xzYZZUGm78"",""'T.ESCOLAR'!B:B"") =Escolares!A96), ""Select * Limit 10"" , 1)"),"#N/A")</f>
        <v>#N/A</v>
      </c>
      <c r="AH96" s="83">
        <f t="shared" ca="1" si="8"/>
        <v>9208</v>
      </c>
    </row>
    <row r="97" spans="1:34" ht="13.8">
      <c r="A97" s="1" t="s">
        <v>1123</v>
      </c>
      <c r="B97" s="1" t="s">
        <v>1379</v>
      </c>
      <c r="C97" s="1" t="s">
        <v>653</v>
      </c>
      <c r="G97" s="1" t="s">
        <v>1365</v>
      </c>
      <c r="H97" s="1" t="s">
        <v>1362</v>
      </c>
      <c r="I97" s="1">
        <v>33513827</v>
      </c>
      <c r="J97" s="1" t="s">
        <v>1363</v>
      </c>
      <c r="K97" s="1" t="s">
        <v>1366</v>
      </c>
      <c r="L97" s="1">
        <v>1133227794</v>
      </c>
      <c r="N97" s="1" t="s">
        <v>1681</v>
      </c>
      <c r="O97" s="1" t="s">
        <v>1365</v>
      </c>
      <c r="P97" s="1" t="s">
        <v>1362</v>
      </c>
      <c r="Q97" s="1">
        <v>33513827</v>
      </c>
      <c r="R97" s="1">
        <v>33513827</v>
      </c>
      <c r="T97" s="1" t="s">
        <v>1363</v>
      </c>
      <c r="U97" s="1" t="s">
        <v>1366</v>
      </c>
      <c r="AE97" s="82"/>
      <c r="AG97" s="1" t="str">
        <f ca="1">IFERROR(__xludf.DUMMYFUNCTION("QUERY(FILTER(Importrange(""1W5sXuVCo-muXq9naQExIQV7xdM6BHYSf-xzYZZUGm78"",""'T.ESCOLAR'!P:P""),Importrange(""1W5sXuVCo-muXq9naQExIQV7xdM6BHYSf-xzYZZUGm78"",""'T.ESCOLAR'!B:B"") =Escolares!A97), ""Select * Limit 10"" , 1)"),"#N/A")</f>
        <v>#N/A</v>
      </c>
      <c r="AH97" s="83"/>
    </row>
    <row r="98" spans="1:34" ht="13.8">
      <c r="A98" s="1" t="s">
        <v>1124</v>
      </c>
      <c r="B98" s="1" t="s">
        <v>1379</v>
      </c>
      <c r="C98" s="1" t="s">
        <v>697</v>
      </c>
      <c r="G98" s="1" t="s">
        <v>1682</v>
      </c>
      <c r="H98" s="1" t="s">
        <v>1683</v>
      </c>
      <c r="I98" s="1">
        <v>14060270</v>
      </c>
      <c r="J98" s="92" t="s">
        <v>1684</v>
      </c>
      <c r="K98" s="1" t="s">
        <v>1685</v>
      </c>
      <c r="L98" s="1">
        <v>1161515163</v>
      </c>
      <c r="N98" s="1" t="s">
        <v>1686</v>
      </c>
      <c r="O98" s="1" t="s">
        <v>1682</v>
      </c>
      <c r="P98" s="1" t="s">
        <v>1687</v>
      </c>
      <c r="Q98" s="12">
        <v>37207417</v>
      </c>
      <c r="R98" s="12">
        <v>37207417</v>
      </c>
      <c r="T98" s="92" t="s">
        <v>1684</v>
      </c>
      <c r="U98" s="1" t="s">
        <v>1685</v>
      </c>
      <c r="V98" s="1" t="s">
        <v>1682</v>
      </c>
      <c r="W98" s="1" t="s">
        <v>1688</v>
      </c>
      <c r="X98" s="1">
        <v>45735280</v>
      </c>
      <c r="Y98" s="92" t="s">
        <v>1684</v>
      </c>
      <c r="Z98" s="1" t="s">
        <v>1689</v>
      </c>
      <c r="AA98" s="1" t="s">
        <v>571</v>
      </c>
      <c r="AB98" s="1" t="s">
        <v>140</v>
      </c>
      <c r="AC98" s="4" t="s">
        <v>572</v>
      </c>
      <c r="AD98" s="1">
        <v>2011</v>
      </c>
      <c r="AE98" s="18">
        <v>40858</v>
      </c>
      <c r="AF98" s="1" t="s">
        <v>500</v>
      </c>
      <c r="AG98" s="1" t="str">
        <f ca="1">IFERROR(__xludf.DUMMYFUNCTION("QUERY(FILTER(Importrange(""1W5sXuVCo-muXq9naQExIQV7xdM6BHYSf-xzYZZUGm78"",""'T.ESCOLAR'!P:P""),Importrange(""1W5sXuVCo-muXq9naQExIQV7xdM6BHYSf-xzYZZUGm78"",""'T.ESCOLAR'!B:B"") =Escolares!A98), ""Select * Limit 10"" , 1)"),"#N/A")</f>
        <v>#N/A</v>
      </c>
      <c r="AH98" s="83">
        <f ca="1">DATEDIF(AE98,TODAY(),  "D")</f>
        <v>5299</v>
      </c>
    </row>
    <row r="99" spans="1:34" ht="13.8">
      <c r="A99" s="1" t="s">
        <v>1125</v>
      </c>
      <c r="B99" s="1" t="s">
        <v>1360</v>
      </c>
      <c r="C99" s="1" t="s">
        <v>810</v>
      </c>
      <c r="G99" s="1" t="s">
        <v>1386</v>
      </c>
      <c r="H99" s="1" t="s">
        <v>1542</v>
      </c>
      <c r="I99" s="1">
        <v>22982411</v>
      </c>
      <c r="J99" s="7" t="s">
        <v>1690</v>
      </c>
      <c r="K99" s="89" t="s">
        <v>1691</v>
      </c>
      <c r="L99" s="1">
        <v>1134843008</v>
      </c>
      <c r="M99" s="1">
        <v>42671755</v>
      </c>
      <c r="N99" s="1" t="s">
        <v>1015</v>
      </c>
      <c r="O99" s="1" t="s">
        <v>1692</v>
      </c>
      <c r="P99" s="1" t="s">
        <v>1415</v>
      </c>
      <c r="Q99" s="1">
        <v>43240133</v>
      </c>
      <c r="R99" s="1">
        <v>43240133</v>
      </c>
      <c r="T99" s="1" t="s">
        <v>1693</v>
      </c>
      <c r="U99" s="1" t="s">
        <v>1389</v>
      </c>
      <c r="V99" s="1" t="s">
        <v>1694</v>
      </c>
      <c r="W99" s="1" t="s">
        <v>1695</v>
      </c>
      <c r="X99" s="1">
        <v>44502570</v>
      </c>
      <c r="Y99" s="1" t="s">
        <v>1696</v>
      </c>
      <c r="Z99" s="1" t="s">
        <v>1406</v>
      </c>
      <c r="AA99" s="1" t="s">
        <v>808</v>
      </c>
      <c r="AB99" s="1" t="s">
        <v>504</v>
      </c>
      <c r="AC99" s="7" t="s">
        <v>809</v>
      </c>
      <c r="AD99" s="1">
        <v>2011</v>
      </c>
      <c r="AE99" s="9">
        <v>40871</v>
      </c>
      <c r="AF99" s="7" t="s">
        <v>492</v>
      </c>
      <c r="AG99" s="1" t="str">
        <f ca="1">IFERROR(__xludf.DUMMYFUNCTION("QUERY(FILTER(Importrange(""1W5sXuVCo-muXq9naQExIQV7xdM6BHYSf-xzYZZUGm78"",""'T.ESCOLAR'!P:P""),Importrange(""1W5sXuVCo-muXq9naQExIQV7xdM6BHYSf-xzYZZUGm78"",""'T.ESCOLAR'!B:B"") =Escolares!A99), ""Select * Limit 10"" , 1)"),"#N/A")</f>
        <v>#N/A</v>
      </c>
      <c r="AH99" s="83"/>
    </row>
    <row r="100" spans="1:34" ht="13.8">
      <c r="A100" s="1" t="s">
        <v>1126</v>
      </c>
      <c r="B100" s="1" t="s">
        <v>1379</v>
      </c>
      <c r="C100" s="1" t="s">
        <v>825</v>
      </c>
      <c r="G100" s="1" t="s">
        <v>1697</v>
      </c>
      <c r="H100" s="1" t="s">
        <v>1698</v>
      </c>
      <c r="I100" s="1">
        <v>20548714</v>
      </c>
      <c r="J100" s="1" t="s">
        <v>1699</v>
      </c>
      <c r="K100" s="1" t="s">
        <v>1401</v>
      </c>
      <c r="L100" s="1">
        <v>1135484454</v>
      </c>
      <c r="N100" s="1" t="s">
        <v>1033</v>
      </c>
      <c r="O100" s="1" t="s">
        <v>1697</v>
      </c>
      <c r="P100" s="1" t="s">
        <v>1698</v>
      </c>
      <c r="Q100" s="1">
        <v>20548714</v>
      </c>
      <c r="R100" s="1">
        <v>20548714</v>
      </c>
      <c r="T100" s="1" t="s">
        <v>1699</v>
      </c>
      <c r="U100" s="1" t="s">
        <v>1401</v>
      </c>
      <c r="V100" s="1" t="s">
        <v>1604</v>
      </c>
      <c r="W100" s="1" t="s">
        <v>1605</v>
      </c>
      <c r="X100" s="1">
        <v>18179076</v>
      </c>
      <c r="Y100" s="1" t="s">
        <v>1606</v>
      </c>
      <c r="Z100" s="1" t="s">
        <v>1401</v>
      </c>
      <c r="AA100" s="1" t="s">
        <v>575</v>
      </c>
      <c r="AB100" s="1" t="s">
        <v>140</v>
      </c>
      <c r="AC100" s="1" t="s">
        <v>512</v>
      </c>
      <c r="AD100" s="1">
        <v>2007</v>
      </c>
      <c r="AE100" s="82">
        <v>39176</v>
      </c>
      <c r="AF100" s="1" t="s">
        <v>492</v>
      </c>
      <c r="AG100" s="1" t="str">
        <f ca="1">IFERROR(__xludf.DUMMYFUNCTION("QUERY(FILTER(Importrange(""1W5sXuVCo-muXq9naQExIQV7xdM6BHYSf-xzYZZUGm78"",""'T.ESCOLAR'!P:P""),Importrange(""1W5sXuVCo-muXq9naQExIQV7xdM6BHYSf-xzYZZUGm78"",""'T.ESCOLAR'!B:B"") =Escolares!A100), ""Select * Limit 10"" , 1)"),"#N/A")</f>
        <v>#N/A</v>
      </c>
      <c r="AH100" s="83">
        <f t="shared" ref="AH100:AH102" ca="1" si="9">DATEDIF(AE100,TODAY(),  "D")</f>
        <v>6981</v>
      </c>
    </row>
    <row r="101" spans="1:34" ht="13.8">
      <c r="A101" s="1" t="s">
        <v>1127</v>
      </c>
      <c r="B101" s="1" t="s">
        <v>1379</v>
      </c>
      <c r="C101" s="1" t="s">
        <v>579</v>
      </c>
      <c r="G101" s="1" t="s">
        <v>576</v>
      </c>
      <c r="H101" s="1" t="s">
        <v>1700</v>
      </c>
      <c r="I101" s="1" t="s">
        <v>577</v>
      </c>
      <c r="J101" s="1" t="s">
        <v>1474</v>
      </c>
      <c r="K101" s="1" t="s">
        <v>1475</v>
      </c>
      <c r="L101" s="1">
        <v>1132532981</v>
      </c>
      <c r="N101" s="1" t="s">
        <v>1476</v>
      </c>
      <c r="O101" s="1" t="s">
        <v>1701</v>
      </c>
      <c r="P101" s="1" t="s">
        <v>1702</v>
      </c>
      <c r="Q101" s="1">
        <v>13679477</v>
      </c>
      <c r="R101" s="1">
        <v>13679477</v>
      </c>
      <c r="T101" s="1" t="s">
        <v>1703</v>
      </c>
      <c r="U101" s="1" t="s">
        <v>1704</v>
      </c>
      <c r="V101" s="1" t="s">
        <v>1481</v>
      </c>
      <c r="W101" s="1" t="s">
        <v>1482</v>
      </c>
      <c r="X101" s="1">
        <v>35948347</v>
      </c>
      <c r="Y101" s="1" t="s">
        <v>1483</v>
      </c>
      <c r="Z101" s="1" t="s">
        <v>1550</v>
      </c>
      <c r="AA101" s="1" t="s">
        <v>578</v>
      </c>
      <c r="AB101" s="1" t="s">
        <v>140</v>
      </c>
      <c r="AC101" s="1" t="s">
        <v>496</v>
      </c>
      <c r="AD101" s="1">
        <v>2008</v>
      </c>
      <c r="AE101" s="82">
        <v>39735</v>
      </c>
      <c r="AF101" s="1" t="s">
        <v>487</v>
      </c>
      <c r="AG101" s="1" t="str">
        <f ca="1">IFERROR(__xludf.DUMMYFUNCTION("QUERY(FILTER(Importrange(""1W5sXuVCo-muXq9naQExIQV7xdM6BHYSf-xzYZZUGm78"",""'T.ESCOLAR'!P:P""),Importrange(""1W5sXuVCo-muXq9naQExIQV7xdM6BHYSf-xzYZZUGm78"",""'T.ESCOLAR'!B:B"") =Escolares!A101), ""Select * Limit 10"" , 1)"),"#N/A")</f>
        <v>#N/A</v>
      </c>
      <c r="AH101" s="83">
        <f t="shared" ca="1" si="9"/>
        <v>6422</v>
      </c>
    </row>
    <row r="102" spans="1:34" ht="13.8">
      <c r="A102" s="1" t="s">
        <v>1128</v>
      </c>
      <c r="B102" s="1" t="s">
        <v>1379</v>
      </c>
      <c r="C102" s="1" t="s">
        <v>835</v>
      </c>
      <c r="G102" s="1" t="s">
        <v>1705</v>
      </c>
      <c r="H102" s="1" t="s">
        <v>1706</v>
      </c>
      <c r="I102" s="1">
        <v>31080966</v>
      </c>
      <c r="J102" s="1" t="s">
        <v>1707</v>
      </c>
      <c r="K102" s="1" t="s">
        <v>1550</v>
      </c>
      <c r="L102" s="1">
        <v>1140831165</v>
      </c>
      <c r="N102" s="1" t="s">
        <v>1708</v>
      </c>
      <c r="O102" s="1" t="s">
        <v>1709</v>
      </c>
      <c r="P102" s="1" t="s">
        <v>1542</v>
      </c>
      <c r="Q102" s="1">
        <v>23111289</v>
      </c>
      <c r="R102" s="1">
        <v>23111289</v>
      </c>
      <c r="T102" s="1" t="s">
        <v>1710</v>
      </c>
      <c r="U102" s="1" t="s">
        <v>1711</v>
      </c>
      <c r="V102" s="1" t="s">
        <v>1705</v>
      </c>
      <c r="W102" s="1" t="s">
        <v>1706</v>
      </c>
      <c r="X102" s="1">
        <v>31080966</v>
      </c>
      <c r="Y102" s="1" t="s">
        <v>1707</v>
      </c>
      <c r="Z102" s="1" t="s">
        <v>1550</v>
      </c>
      <c r="AA102" s="1" t="s">
        <v>582</v>
      </c>
      <c r="AB102" s="1" t="s">
        <v>140</v>
      </c>
      <c r="AC102" s="1" t="s">
        <v>512</v>
      </c>
      <c r="AD102" s="1">
        <v>2005</v>
      </c>
      <c r="AE102" s="82">
        <v>38531</v>
      </c>
      <c r="AF102" s="1" t="s">
        <v>513</v>
      </c>
      <c r="AG102" s="1" t="str">
        <f ca="1">IFERROR(__xludf.DUMMYFUNCTION("QUERY(FILTER(Importrange(""1W5sXuVCo-muXq9naQExIQV7xdM6BHYSf-xzYZZUGm78"",""'T.ESCOLAR'!P:P""),Importrange(""1W5sXuVCo-muXq9naQExIQV7xdM6BHYSf-xzYZZUGm78"",""'T.ESCOLAR'!B:B"") =Escolares!A102), ""Select * Limit 10"" , 1)"),"#N/A")</f>
        <v>#N/A</v>
      </c>
      <c r="AH102" s="83">
        <f t="shared" ca="1" si="9"/>
        <v>7626</v>
      </c>
    </row>
    <row r="103" spans="1:34" ht="13.8">
      <c r="A103" s="1" t="s">
        <v>1129</v>
      </c>
      <c r="B103" s="1"/>
      <c r="AE103" s="82"/>
      <c r="AG103" s="1" t="str">
        <f ca="1">IFERROR(__xludf.DUMMYFUNCTION("QUERY(FILTER(Importrange(""1W5sXuVCo-muXq9naQExIQV7xdM6BHYSf-xzYZZUGm78"",""'T.ESCOLAR'!P:P""),Importrange(""1W5sXuVCo-muXq9naQExIQV7xdM6BHYSf-xzYZZUGm78"",""'T.ESCOLAR'!B:B"") =Escolares!A103), ""Select * Limit 10"" , 1)"),"#N/A")</f>
        <v>#N/A</v>
      </c>
      <c r="AH103" s="83"/>
    </row>
    <row r="104" spans="1:34" ht="13.8">
      <c r="A104" s="1" t="s">
        <v>1130</v>
      </c>
      <c r="B104" s="1"/>
      <c r="AE104" s="82"/>
      <c r="AG104" s="1" t="str">
        <f ca="1">IFERROR(__xludf.DUMMYFUNCTION("QUERY(FILTER(Importrange(""1W5sXuVCo-muXq9naQExIQV7xdM6BHYSf-xzYZZUGm78"",""'T.ESCOLAR'!P:P""),Importrange(""1W5sXuVCo-muXq9naQExIQV7xdM6BHYSf-xzYZZUGm78"",""'T.ESCOLAR'!B:B"") =Escolares!A104), ""Select * Limit 10"" , 1)"),"#N/A")</f>
        <v>#N/A</v>
      </c>
      <c r="AH104" s="83"/>
    </row>
    <row r="105" spans="1:34" ht="13.8">
      <c r="A105" s="1" t="s">
        <v>583</v>
      </c>
      <c r="B105" s="1" t="s">
        <v>1379</v>
      </c>
      <c r="C105" s="1" t="s">
        <v>1652</v>
      </c>
      <c r="G105" s="1" t="s">
        <v>1588</v>
      </c>
      <c r="H105" s="1" t="s">
        <v>1589</v>
      </c>
      <c r="I105" s="1">
        <v>37256323</v>
      </c>
      <c r="J105" s="1" t="s">
        <v>1590</v>
      </c>
      <c r="K105" s="1" t="s">
        <v>1550</v>
      </c>
      <c r="L105" s="1">
        <v>1159788199</v>
      </c>
      <c r="N105" s="1" t="s">
        <v>1712</v>
      </c>
      <c r="O105" s="1" t="s">
        <v>1583</v>
      </c>
      <c r="P105" s="1" t="s">
        <v>1584</v>
      </c>
      <c r="Q105" s="1">
        <v>36286643</v>
      </c>
      <c r="R105" s="1">
        <v>36286643</v>
      </c>
      <c r="S105" s="84">
        <v>45060</v>
      </c>
      <c r="T105" s="1" t="s">
        <v>1585</v>
      </c>
      <c r="U105" s="1" t="s">
        <v>1685</v>
      </c>
      <c r="V105" s="1" t="s">
        <v>1588</v>
      </c>
      <c r="W105" s="1" t="s">
        <v>1589</v>
      </c>
      <c r="X105" s="1">
        <v>37256323</v>
      </c>
      <c r="Y105" s="1" t="s">
        <v>1590</v>
      </c>
      <c r="Z105" s="1" t="s">
        <v>1364</v>
      </c>
      <c r="AA105" s="1" t="s">
        <v>584</v>
      </c>
      <c r="AB105" s="1" t="s">
        <v>140</v>
      </c>
      <c r="AC105" s="6" t="s">
        <v>496</v>
      </c>
      <c r="AD105" s="86">
        <v>2006</v>
      </c>
      <c r="AE105" s="90">
        <v>38939</v>
      </c>
      <c r="AF105" s="6" t="s">
        <v>513</v>
      </c>
      <c r="AG105" s="1" t="str">
        <f ca="1">IFERROR(__xludf.DUMMYFUNCTION("QUERY(FILTER(Importrange(""1W5sXuVCo-muXq9naQExIQV7xdM6BHYSf-xzYZZUGm78"",""'T.ESCOLAR'!P:P""),Importrange(""1W5sXuVCo-muXq9naQExIQV7xdM6BHYSf-xzYZZUGm78"",""'T.ESCOLAR'!B:B"") =Escolares!A105), ""Select * Limit 10"" , 1)"),"APROBADO")</f>
        <v>APROBADO</v>
      </c>
      <c r="AH105" s="83">
        <f ca="1">DATEDIF(AE105,TODAY(),  "D")</f>
        <v>7218</v>
      </c>
    </row>
    <row r="106" spans="1:34" ht="13.8">
      <c r="A106" s="1" t="s">
        <v>1131</v>
      </c>
      <c r="B106" s="1"/>
      <c r="AE106" s="82"/>
      <c r="AG106" s="1" t="str">
        <f ca="1">IFERROR(__xludf.DUMMYFUNCTION("QUERY(FILTER(Importrange(""1W5sXuVCo-muXq9naQExIQV7xdM6BHYSf-xzYZZUGm78"",""'T.ESCOLAR'!P:P""),Importrange(""1W5sXuVCo-muXq9naQExIQV7xdM6BHYSf-xzYZZUGm78"",""'T.ESCOLAR'!B:B"") =Escolares!A106), ""Select * Limit 10"" , 1)"),"#N/A")</f>
        <v>#N/A</v>
      </c>
      <c r="AH106" s="83"/>
    </row>
    <row r="107" spans="1:34" ht="13.8">
      <c r="A107" s="1" t="s">
        <v>1132</v>
      </c>
      <c r="B107" s="1"/>
      <c r="AE107" s="82"/>
      <c r="AG107" s="1" t="str">
        <f ca="1">IFERROR(__xludf.DUMMYFUNCTION("QUERY(FILTER(Importrange(""1W5sXuVCo-muXq9naQExIQV7xdM6BHYSf-xzYZZUGm78"",""'T.ESCOLAR'!P:P""),Importrange(""1W5sXuVCo-muXq9naQExIQV7xdM6BHYSf-xzYZZUGm78"",""'T.ESCOLAR'!B:B"") =Escolares!A107), ""Select * Limit 10"" , 1)"),"#N/A")</f>
        <v>#N/A</v>
      </c>
      <c r="AH107" s="83"/>
    </row>
    <row r="108" spans="1:34" ht="13.8">
      <c r="A108" s="1" t="s">
        <v>1133</v>
      </c>
      <c r="B108" s="1"/>
      <c r="AE108" s="82"/>
      <c r="AG108" s="1" t="str">
        <f ca="1">IFERROR(__xludf.DUMMYFUNCTION("QUERY(FILTER(Importrange(""1W5sXuVCo-muXq9naQExIQV7xdM6BHYSf-xzYZZUGm78"",""'T.ESCOLAR'!P:P""),Importrange(""1W5sXuVCo-muXq9naQExIQV7xdM6BHYSf-xzYZZUGm78"",""'T.ESCOLAR'!B:B"") =Escolares!A108), ""Select * Limit 10"" , 1)"),"#N/A")</f>
        <v>#N/A</v>
      </c>
      <c r="AH108" s="83"/>
    </row>
    <row r="109" spans="1:34" ht="13.8">
      <c r="A109" s="1" t="s">
        <v>1134</v>
      </c>
      <c r="B109" s="1"/>
      <c r="AE109" s="82"/>
      <c r="AG109" s="1" t="str">
        <f ca="1">IFERROR(__xludf.DUMMYFUNCTION("QUERY(FILTER(Importrange(""1W5sXuVCo-muXq9naQExIQV7xdM6BHYSf-xzYZZUGm78"",""'T.ESCOLAR'!P:P""),Importrange(""1W5sXuVCo-muXq9naQExIQV7xdM6BHYSf-xzYZZUGm78"",""'T.ESCOLAR'!B:B"") =Escolares!A109), ""Select * Limit 10"" , 1)"),"#N/A")</f>
        <v>#N/A</v>
      </c>
      <c r="AH109" s="83"/>
    </row>
    <row r="110" spans="1:34" ht="13.8">
      <c r="A110" s="1" t="s">
        <v>1135</v>
      </c>
      <c r="B110" s="1" t="s">
        <v>1520</v>
      </c>
      <c r="C110" s="1" t="s">
        <v>1713</v>
      </c>
      <c r="F110" s="84"/>
      <c r="G110" s="1" t="s">
        <v>1714</v>
      </c>
      <c r="H110" s="1" t="s">
        <v>1715</v>
      </c>
      <c r="I110" s="1">
        <v>23852904</v>
      </c>
      <c r="J110" s="1" t="s">
        <v>1716</v>
      </c>
      <c r="K110" s="1" t="s">
        <v>1401</v>
      </c>
      <c r="L110" s="1">
        <v>1127727626</v>
      </c>
      <c r="N110" s="1" t="s">
        <v>1717</v>
      </c>
      <c r="O110" s="1" t="s">
        <v>1714</v>
      </c>
      <c r="P110" s="1" t="s">
        <v>1715</v>
      </c>
      <c r="Q110" s="1">
        <v>23852904</v>
      </c>
      <c r="R110" s="1">
        <v>23852904</v>
      </c>
      <c r="S110" s="84"/>
      <c r="T110" s="1" t="s">
        <v>1716</v>
      </c>
      <c r="U110" s="1" t="s">
        <v>1401</v>
      </c>
      <c r="V110" s="1" t="s">
        <v>1718</v>
      </c>
      <c r="W110" s="1" t="s">
        <v>1719</v>
      </c>
      <c r="X110" s="1">
        <v>21861607</v>
      </c>
      <c r="Y110" s="1" t="s">
        <v>1720</v>
      </c>
      <c r="Z110" s="1" t="s">
        <v>1721</v>
      </c>
      <c r="AA110" s="1" t="s">
        <v>767</v>
      </c>
      <c r="AB110" s="1" t="s">
        <v>140</v>
      </c>
      <c r="AC110" s="12" t="s">
        <v>768</v>
      </c>
      <c r="AD110" s="1">
        <v>2010</v>
      </c>
      <c r="AE110" s="82">
        <v>40476</v>
      </c>
      <c r="AF110" s="1" t="s">
        <v>487</v>
      </c>
      <c r="AG110" s="1" t="str">
        <f ca="1">IFERROR(__xludf.DUMMYFUNCTION("QUERY(FILTER(Importrange(""1W5sXuVCo-muXq9naQExIQV7xdM6BHYSf-xzYZZUGm78"",""'T.ESCOLAR'!P:P""),Importrange(""1W5sXuVCo-muXq9naQExIQV7xdM6BHYSf-xzYZZUGm78"",""'T.ESCOLAR'!B:B"") =Escolares!A110), ""Select * Limit 10"" , 1)"),"#N/A")</f>
        <v>#N/A</v>
      </c>
      <c r="AH110" s="83">
        <f t="shared" ref="AH110:AH111" ca="1" si="10">DATEDIF(AE110,TODAY(),  "D")</f>
        <v>5681</v>
      </c>
    </row>
    <row r="111" spans="1:34" ht="13.8">
      <c r="A111" s="1" t="s">
        <v>1136</v>
      </c>
      <c r="B111" s="1" t="s">
        <v>1379</v>
      </c>
      <c r="C111" s="1" t="s">
        <v>1722</v>
      </c>
      <c r="G111" s="1" t="s">
        <v>1365</v>
      </c>
      <c r="H111" s="1" t="s">
        <v>1676</v>
      </c>
      <c r="I111" s="1">
        <v>31079797</v>
      </c>
      <c r="J111" s="1" t="s">
        <v>1363</v>
      </c>
      <c r="K111" s="1" t="s">
        <v>1366</v>
      </c>
      <c r="L111" s="1">
        <v>1134938817</v>
      </c>
      <c r="N111" s="1" t="s">
        <v>877</v>
      </c>
      <c r="O111" s="4" t="s">
        <v>1723</v>
      </c>
      <c r="P111" s="1" t="s">
        <v>1724</v>
      </c>
      <c r="Q111" s="12">
        <v>10163812</v>
      </c>
      <c r="R111" s="12">
        <v>10163812</v>
      </c>
      <c r="T111" s="1" t="s">
        <v>1725</v>
      </c>
      <c r="U111" s="1" t="s">
        <v>1726</v>
      </c>
      <c r="V111" s="1" t="s">
        <v>1727</v>
      </c>
      <c r="W111" s="1" t="s">
        <v>1382</v>
      </c>
      <c r="X111" s="1">
        <v>28831243</v>
      </c>
      <c r="Y111" s="1" t="s">
        <v>1622</v>
      </c>
      <c r="Z111" s="1" t="s">
        <v>1726</v>
      </c>
      <c r="AA111" s="1" t="s">
        <v>654</v>
      </c>
      <c r="AB111" s="1" t="s">
        <v>140</v>
      </c>
      <c r="AC111" s="1" t="s">
        <v>572</v>
      </c>
      <c r="AD111" s="1">
        <v>2005</v>
      </c>
      <c r="AE111" s="82">
        <v>38477</v>
      </c>
      <c r="AF111" s="1" t="s">
        <v>500</v>
      </c>
      <c r="AG111" s="1" t="str">
        <f ca="1">IFERROR(__xludf.DUMMYFUNCTION("QUERY(FILTER(Importrange(""1W5sXuVCo-muXq9naQExIQV7xdM6BHYSf-xzYZZUGm78"",""'T.ESCOLAR'!P:P""),Importrange(""1W5sXuVCo-muXq9naQExIQV7xdM6BHYSf-xzYZZUGm78"",""'T.ESCOLAR'!B:B"") =Escolares!A111), ""Select * Limit 10"" , 1)"),"#N/A")</f>
        <v>#N/A</v>
      </c>
      <c r="AH111" s="83">
        <f t="shared" ca="1" si="10"/>
        <v>7680</v>
      </c>
    </row>
    <row r="112" spans="1:34" ht="13.8">
      <c r="A112" s="1" t="s">
        <v>1137</v>
      </c>
      <c r="B112" s="1"/>
      <c r="AE112" s="82"/>
      <c r="AG112" s="1" t="str">
        <f ca="1">IFERROR(__xludf.DUMMYFUNCTION("QUERY(FILTER(Importrange(""1W5sXuVCo-muXq9naQExIQV7xdM6BHYSf-xzYZZUGm78"",""'T.ESCOLAR'!P:P""),Importrange(""1W5sXuVCo-muXq9naQExIQV7xdM6BHYSf-xzYZZUGm78"",""'T.ESCOLAR'!B:B"") =Escolares!A112), ""Select * Limit 10"" , 1)"),"#N/A")</f>
        <v>#N/A</v>
      </c>
      <c r="AH112" s="83"/>
    </row>
    <row r="113" spans="1:34" ht="13.8">
      <c r="A113" s="1" t="s">
        <v>1138</v>
      </c>
      <c r="B113" s="1"/>
      <c r="AE113" s="82"/>
      <c r="AG113" s="1" t="str">
        <f ca="1">IFERROR(__xludf.DUMMYFUNCTION("QUERY(FILTER(Importrange(""1W5sXuVCo-muXq9naQExIQV7xdM6BHYSf-xzYZZUGm78"",""'T.ESCOLAR'!P:P""),Importrange(""1W5sXuVCo-muXq9naQExIQV7xdM6BHYSf-xzYZZUGm78"",""'T.ESCOLAR'!B:B"") =Escolares!A113), ""Select * Limit 10"" , 1)"),"#N/A")</f>
        <v>#N/A</v>
      </c>
      <c r="AH113" s="83"/>
    </row>
    <row r="114" spans="1:34" ht="13.8">
      <c r="A114" s="1" t="s">
        <v>587</v>
      </c>
      <c r="B114" s="1"/>
      <c r="AE114" s="82"/>
      <c r="AG114" s="1" t="str">
        <f ca="1">IFERROR(__xludf.DUMMYFUNCTION("QUERY(FILTER(Importrange(""1W5sXuVCo-muXq9naQExIQV7xdM6BHYSf-xzYZZUGm78"",""'T.ESCOLAR'!P:P""),Importrange(""1W5sXuVCo-muXq9naQExIQV7xdM6BHYSf-xzYZZUGm78"",""'T.ESCOLAR'!B:B"") =Escolares!A114), ""Select * Limit 10"" , 1)"),"APROBADO")</f>
        <v>APROBADO</v>
      </c>
      <c r="AH114" s="83"/>
    </row>
    <row r="115" spans="1:34" ht="13.8">
      <c r="A115" s="1" t="s">
        <v>1139</v>
      </c>
      <c r="B115" s="1"/>
      <c r="AE115" s="82"/>
      <c r="AG115" s="1" t="str">
        <f ca="1">IFERROR(__xludf.DUMMYFUNCTION("QUERY(FILTER(Importrange(""1W5sXuVCo-muXq9naQExIQV7xdM6BHYSf-xzYZZUGm78"",""'T.ESCOLAR'!P:P""),Importrange(""1W5sXuVCo-muXq9naQExIQV7xdM6BHYSf-xzYZZUGm78"",""'T.ESCOLAR'!B:B"") =Escolares!A115), ""Select * Limit 10"" , 1)"),"#N/A")</f>
        <v>#N/A</v>
      </c>
      <c r="AH115" s="83"/>
    </row>
    <row r="116" spans="1:34" ht="13.8">
      <c r="A116" s="1" t="s">
        <v>1140</v>
      </c>
      <c r="B116" s="1" t="s">
        <v>1379</v>
      </c>
      <c r="C116" s="12" t="s">
        <v>703</v>
      </c>
      <c r="F116" s="84">
        <v>44763</v>
      </c>
      <c r="G116" s="4" t="s">
        <v>1728</v>
      </c>
      <c r="H116" s="1" t="s">
        <v>1729</v>
      </c>
      <c r="I116" s="4">
        <v>17833855</v>
      </c>
      <c r="J116" s="4" t="s">
        <v>1730</v>
      </c>
      <c r="K116" s="1" t="s">
        <v>1540</v>
      </c>
      <c r="L116" s="1">
        <v>1160528465</v>
      </c>
      <c r="N116" s="1" t="s">
        <v>1731</v>
      </c>
      <c r="O116" s="4" t="s">
        <v>1732</v>
      </c>
      <c r="P116" s="4" t="s">
        <v>1733</v>
      </c>
      <c r="Q116" s="4">
        <v>22454099</v>
      </c>
      <c r="R116" s="4">
        <v>22454099</v>
      </c>
      <c r="S116" s="84">
        <v>44929</v>
      </c>
      <c r="T116" s="4" t="s">
        <v>1730</v>
      </c>
      <c r="U116" s="1" t="s">
        <v>1540</v>
      </c>
      <c r="V116" s="1" t="s">
        <v>1734</v>
      </c>
      <c r="W116" s="1" t="s">
        <v>1729</v>
      </c>
      <c r="X116" s="1">
        <v>17833855</v>
      </c>
      <c r="Y116" s="4" t="s">
        <v>1730</v>
      </c>
      <c r="Z116" s="91" t="s">
        <v>1540</v>
      </c>
      <c r="AA116" s="1" t="s">
        <v>590</v>
      </c>
      <c r="AB116" s="4" t="s">
        <v>140</v>
      </c>
      <c r="AC116" s="4" t="s">
        <v>546</v>
      </c>
      <c r="AD116" s="1">
        <v>2006</v>
      </c>
      <c r="AE116" s="82">
        <v>38771</v>
      </c>
      <c r="AF116" s="4" t="s">
        <v>513</v>
      </c>
      <c r="AG116" s="1" t="s">
        <v>16</v>
      </c>
      <c r="AH116" s="83">
        <f t="shared" ref="AH116:AH118" ca="1" si="11">DATEDIF(AE116,TODAY(),  "D")</f>
        <v>7386</v>
      </c>
    </row>
    <row r="117" spans="1:34" ht="13.8">
      <c r="A117" s="1" t="s">
        <v>1141</v>
      </c>
      <c r="B117" s="1" t="s">
        <v>1379</v>
      </c>
      <c r="C117" s="1" t="s">
        <v>754</v>
      </c>
      <c r="F117" s="84"/>
      <c r="G117" s="1" t="s">
        <v>1735</v>
      </c>
      <c r="H117" s="1" t="s">
        <v>1537</v>
      </c>
      <c r="I117" s="1">
        <v>22082221</v>
      </c>
      <c r="J117" s="1" t="s">
        <v>1538</v>
      </c>
      <c r="K117" s="1" t="s">
        <v>1420</v>
      </c>
      <c r="L117" s="1">
        <v>1153692190</v>
      </c>
      <c r="M117" s="1">
        <v>1124572690</v>
      </c>
      <c r="N117" s="1" t="s">
        <v>907</v>
      </c>
      <c r="O117" s="1" t="s">
        <v>1736</v>
      </c>
      <c r="P117" s="1" t="s">
        <v>1737</v>
      </c>
      <c r="Q117" s="1">
        <v>17653330</v>
      </c>
      <c r="R117" s="1">
        <v>17653330</v>
      </c>
      <c r="T117" s="1" t="s">
        <v>1738</v>
      </c>
      <c r="U117" s="1" t="s">
        <v>1739</v>
      </c>
      <c r="V117" s="1" t="s">
        <v>1740</v>
      </c>
      <c r="W117" s="1" t="s">
        <v>1741</v>
      </c>
      <c r="X117" s="1">
        <v>22082221</v>
      </c>
      <c r="Y117" s="1" t="s">
        <v>1742</v>
      </c>
      <c r="Z117" s="91" t="s">
        <v>1420</v>
      </c>
      <c r="AA117" s="1" t="s">
        <v>594</v>
      </c>
      <c r="AB117" s="1" t="s">
        <v>1743</v>
      </c>
      <c r="AC117" s="1" t="s">
        <v>1744</v>
      </c>
      <c r="AD117" s="1">
        <v>2012</v>
      </c>
      <c r="AE117" s="82">
        <v>41051</v>
      </c>
      <c r="AF117" s="1" t="s">
        <v>487</v>
      </c>
      <c r="AG117" s="1" t="str">
        <f ca="1">IFERROR(__xludf.DUMMYFUNCTION("QUERY(FILTER(Importrange(""1W5sXuVCo-muXq9naQExIQV7xdM6BHYSf-xzYZZUGm78"",""'T.ESCOLAR'!P:P""),Importrange(""1W5sXuVCo-muXq9naQExIQV7xdM6BHYSf-xzYZZUGm78"",""'T.ESCOLAR'!B:B"") =Escolares!A117), ""Select * Limit 10"" , 1)"),"#N/A")</f>
        <v>#N/A</v>
      </c>
      <c r="AH117" s="83">
        <f t="shared" ca="1" si="11"/>
        <v>5106</v>
      </c>
    </row>
    <row r="118" spans="1:34" ht="13.8">
      <c r="A118" s="1" t="s">
        <v>1142</v>
      </c>
      <c r="B118" s="1" t="s">
        <v>1379</v>
      </c>
      <c r="C118" s="1" t="s">
        <v>1745</v>
      </c>
      <c r="F118" s="84"/>
      <c r="G118" s="1" t="s">
        <v>1735</v>
      </c>
      <c r="H118" s="1" t="s">
        <v>1537</v>
      </c>
      <c r="I118" s="1">
        <v>22082221</v>
      </c>
      <c r="J118" s="1" t="s">
        <v>1538</v>
      </c>
      <c r="K118" s="1" t="s">
        <v>1420</v>
      </c>
      <c r="L118" s="1">
        <v>1153692190</v>
      </c>
      <c r="M118" s="1">
        <v>1124572690</v>
      </c>
      <c r="N118" s="1" t="s">
        <v>907</v>
      </c>
      <c r="O118" s="1" t="s">
        <v>1746</v>
      </c>
      <c r="P118" s="1" t="s">
        <v>1537</v>
      </c>
      <c r="Q118" s="1">
        <v>10534867</v>
      </c>
      <c r="R118" s="1">
        <v>10534867</v>
      </c>
      <c r="S118" s="82"/>
      <c r="T118" s="1" t="s">
        <v>1747</v>
      </c>
      <c r="U118" s="1" t="s">
        <v>1401</v>
      </c>
      <c r="V118" s="1" t="s">
        <v>1740</v>
      </c>
      <c r="W118" s="1" t="s">
        <v>1741</v>
      </c>
      <c r="X118" s="1">
        <v>22082221</v>
      </c>
      <c r="Y118" s="1" t="s">
        <v>1742</v>
      </c>
      <c r="Z118" s="91" t="s">
        <v>1420</v>
      </c>
      <c r="AA118" s="1" t="s">
        <v>595</v>
      </c>
      <c r="AB118" s="1" t="s">
        <v>140</v>
      </c>
      <c r="AC118" s="1" t="s">
        <v>486</v>
      </c>
      <c r="AD118" s="1">
        <v>2012</v>
      </c>
      <c r="AE118" s="82">
        <v>41206</v>
      </c>
      <c r="AF118" s="1" t="s">
        <v>513</v>
      </c>
      <c r="AG118" s="1" t="str">
        <f ca="1">IFERROR(__xludf.DUMMYFUNCTION("QUERY(FILTER(Importrange(""1W5sXuVCo-muXq9naQExIQV7xdM6BHYSf-xzYZZUGm78"",""'T.ESCOLAR'!P:P""),Importrange(""1W5sXuVCo-muXq9naQExIQV7xdM6BHYSf-xzYZZUGm78"",""'T.ESCOLAR'!B:B"") =Escolares!A118), ""Select * Limit 10"" , 1)"),"#N/A")</f>
        <v>#N/A</v>
      </c>
      <c r="AH118" s="83">
        <f t="shared" ca="1" si="11"/>
        <v>4951</v>
      </c>
    </row>
    <row r="119" spans="1:34" ht="13.8">
      <c r="A119" s="1" t="s">
        <v>1143</v>
      </c>
      <c r="B119" s="1"/>
      <c r="AE119" s="82"/>
      <c r="AG119" s="1" t="str">
        <f ca="1">IFERROR(__xludf.DUMMYFUNCTION("QUERY(FILTER(Importrange(""1W5sXuVCo-muXq9naQExIQV7xdM6BHYSf-xzYZZUGm78"",""'T.ESCOLAR'!P:P""),Importrange(""1W5sXuVCo-muXq9naQExIQV7xdM6BHYSf-xzYZZUGm78"",""'T.ESCOLAR'!B:B"") =Escolares!A119), ""Select * Limit 10"" , 1)"),"#N/A")</f>
        <v>#N/A</v>
      </c>
      <c r="AH119" s="83"/>
    </row>
    <row r="120" spans="1:34" ht="13.8">
      <c r="A120" s="1" t="s">
        <v>1144</v>
      </c>
      <c r="B120" s="1"/>
      <c r="AE120" s="82"/>
      <c r="AG120" s="1" t="str">
        <f ca="1">IFERROR(__xludf.DUMMYFUNCTION("QUERY(FILTER(Importrange(""1W5sXuVCo-muXq9naQExIQV7xdM6BHYSf-xzYZZUGm78"",""'T.ESCOLAR'!P:P""),Importrange(""1W5sXuVCo-muXq9naQExIQV7xdM6BHYSf-xzYZZUGm78"",""'T.ESCOLAR'!B:B"") =Escolares!A120), ""Select * Limit 10"" , 1)"),"#N/A")</f>
        <v>#N/A</v>
      </c>
      <c r="AH120" s="83"/>
    </row>
    <row r="121" spans="1:34" ht="13.8">
      <c r="A121" s="1" t="s">
        <v>1145</v>
      </c>
      <c r="B121" s="1"/>
      <c r="AE121" s="82"/>
      <c r="AG121" s="1" t="str">
        <f ca="1">IFERROR(__xludf.DUMMYFUNCTION("QUERY(FILTER(Importrange(""1W5sXuVCo-muXq9naQExIQV7xdM6BHYSf-xzYZZUGm78"",""'T.ESCOLAR'!P:P""),Importrange(""1W5sXuVCo-muXq9naQExIQV7xdM6BHYSf-xzYZZUGm78"",""'T.ESCOLAR'!B:B"") =Escolares!A121), ""Select * Limit 10"" , 1)"),"#N/A")</f>
        <v>#N/A</v>
      </c>
      <c r="AH121" s="83"/>
    </row>
    <row r="122" spans="1:34" ht="13.8">
      <c r="A122" s="1" t="s">
        <v>1146</v>
      </c>
      <c r="B122" s="1"/>
      <c r="AE122" s="82"/>
      <c r="AG122" s="1" t="str">
        <f ca="1">IFERROR(__xludf.DUMMYFUNCTION("QUERY(FILTER(Importrange(""1W5sXuVCo-muXq9naQExIQV7xdM6BHYSf-xzYZZUGm78"",""'T.ESCOLAR'!P:P""),Importrange(""1W5sXuVCo-muXq9naQExIQV7xdM6BHYSf-xzYZZUGm78"",""'T.ESCOLAR'!B:B"") =Escolares!A122), ""Select * Limit 10"" , 1)"),"#N/A")</f>
        <v>#N/A</v>
      </c>
      <c r="AH122" s="83"/>
    </row>
    <row r="123" spans="1:34" ht="13.8">
      <c r="A123" s="1" t="s">
        <v>1147</v>
      </c>
      <c r="B123" s="1"/>
      <c r="AE123" s="82"/>
      <c r="AG123" s="1" t="str">
        <f ca="1">IFERROR(__xludf.DUMMYFUNCTION("QUERY(FILTER(Importrange(""1W5sXuVCo-muXq9naQExIQV7xdM6BHYSf-xzYZZUGm78"",""'T.ESCOLAR'!P:P""),Importrange(""1W5sXuVCo-muXq9naQExIQV7xdM6BHYSf-xzYZZUGm78"",""'T.ESCOLAR'!B:B"") =Escolares!A123), ""Select * Limit 10"" , 1)"),"#N/A")</f>
        <v>#N/A</v>
      </c>
      <c r="AH123" s="83"/>
    </row>
    <row r="124" spans="1:34" ht="13.8">
      <c r="A124" s="1" t="s">
        <v>1148</v>
      </c>
      <c r="B124" s="1"/>
      <c r="AE124" s="82"/>
      <c r="AG124" s="1" t="str">
        <f ca="1">IFERROR(__xludf.DUMMYFUNCTION("QUERY(FILTER(Importrange(""1W5sXuVCo-muXq9naQExIQV7xdM6BHYSf-xzYZZUGm78"",""'T.ESCOLAR'!P:P""),Importrange(""1W5sXuVCo-muXq9naQExIQV7xdM6BHYSf-xzYZZUGm78"",""'T.ESCOLAR'!B:B"") =Escolares!A124), ""Select * Limit 10"" , 1)"),"#N/A")</f>
        <v>#N/A</v>
      </c>
      <c r="AH124" s="83"/>
    </row>
    <row r="125" spans="1:34" ht="13.8">
      <c r="A125" s="1" t="s">
        <v>1149</v>
      </c>
      <c r="B125" s="1"/>
      <c r="AE125" s="82"/>
      <c r="AG125" s="1" t="str">
        <f ca="1">IFERROR(__xludf.DUMMYFUNCTION("QUERY(FILTER(Importrange(""1W5sXuVCo-muXq9naQExIQV7xdM6BHYSf-xzYZZUGm78"",""'T.ESCOLAR'!P:P""),Importrange(""1W5sXuVCo-muXq9naQExIQV7xdM6BHYSf-xzYZZUGm78"",""'T.ESCOLAR'!B:B"") =Escolares!A125), ""Select * Limit 10"" , 1)"),"#N/A")</f>
        <v>#N/A</v>
      </c>
      <c r="AH125" s="83"/>
    </row>
    <row r="126" spans="1:34" ht="13.8">
      <c r="A126" s="1" t="s">
        <v>1150</v>
      </c>
      <c r="B126" s="1"/>
      <c r="AE126" s="82"/>
      <c r="AG126" s="1" t="str">
        <f ca="1">IFERROR(__xludf.DUMMYFUNCTION("QUERY(FILTER(Importrange(""1W5sXuVCo-muXq9naQExIQV7xdM6BHYSf-xzYZZUGm78"",""'T.ESCOLAR'!P:P""),Importrange(""1W5sXuVCo-muXq9naQExIQV7xdM6BHYSf-xzYZZUGm78"",""'T.ESCOLAR'!B:B"") =Escolares!A126), ""Select * Limit 10"" , 1)"),"#N/A")</f>
        <v>#N/A</v>
      </c>
      <c r="AH126" s="83"/>
    </row>
    <row r="127" spans="1:34" ht="13.8">
      <c r="A127" s="1" t="s">
        <v>1151</v>
      </c>
      <c r="B127" s="1"/>
      <c r="AE127" s="82"/>
      <c r="AG127" s="1" t="str">
        <f ca="1">IFERROR(__xludf.DUMMYFUNCTION("QUERY(FILTER(Importrange(""1W5sXuVCo-muXq9naQExIQV7xdM6BHYSf-xzYZZUGm78"",""'T.ESCOLAR'!P:P""),Importrange(""1W5sXuVCo-muXq9naQExIQV7xdM6BHYSf-xzYZZUGm78"",""'T.ESCOLAR'!B:B"") =Escolares!A127), ""Select * Limit 10"" , 1)"),"#N/A")</f>
        <v>#N/A</v>
      </c>
      <c r="AH127" s="83"/>
    </row>
    <row r="128" spans="1:34" ht="13.8">
      <c r="A128" s="1" t="s">
        <v>1152</v>
      </c>
      <c r="B128" s="1" t="s">
        <v>1379</v>
      </c>
      <c r="C128" s="1" t="s">
        <v>736</v>
      </c>
      <c r="G128" s="1" t="s">
        <v>1748</v>
      </c>
      <c r="H128" s="1" t="s">
        <v>1608</v>
      </c>
      <c r="I128" s="1">
        <v>13525995</v>
      </c>
      <c r="J128" s="12" t="s">
        <v>1749</v>
      </c>
      <c r="K128" s="91" t="s">
        <v>1750</v>
      </c>
      <c r="L128" s="1">
        <v>1132502159</v>
      </c>
      <c r="N128" s="1" t="s">
        <v>857</v>
      </c>
      <c r="O128" s="1" t="s">
        <v>1748</v>
      </c>
      <c r="P128" s="1" t="s">
        <v>1608</v>
      </c>
      <c r="Q128" s="1">
        <v>13525995</v>
      </c>
      <c r="R128" s="1">
        <v>13525995</v>
      </c>
      <c r="T128" s="12" t="s">
        <v>1749</v>
      </c>
      <c r="U128" s="91" t="s">
        <v>1750</v>
      </c>
      <c r="V128" s="1" t="s">
        <v>1751</v>
      </c>
      <c r="W128" s="1" t="s">
        <v>1752</v>
      </c>
      <c r="X128" s="1">
        <v>92522885</v>
      </c>
      <c r="Y128" s="1" t="s">
        <v>1282</v>
      </c>
      <c r="Z128" s="1" t="s">
        <v>1685</v>
      </c>
      <c r="AA128" s="1" t="s">
        <v>597</v>
      </c>
      <c r="AB128" s="1" t="s">
        <v>140</v>
      </c>
      <c r="AC128" s="1" t="s">
        <v>572</v>
      </c>
      <c r="AD128" s="1">
        <v>2009</v>
      </c>
      <c r="AE128" s="82">
        <v>40130</v>
      </c>
      <c r="AF128" s="1" t="s">
        <v>500</v>
      </c>
      <c r="AG128" s="1" t="str">
        <f ca="1">IFERROR(__xludf.DUMMYFUNCTION("QUERY(FILTER(Importrange(""1W5sXuVCo-muXq9naQExIQV7xdM6BHYSf-xzYZZUGm78"",""'T.ESCOLAR'!P:P""),Importrange(""1W5sXuVCo-muXq9naQExIQV7xdM6BHYSf-xzYZZUGm78"",""'T.ESCOLAR'!B:B"") =Escolares!A128), ""Select * Limit 10"" , 1)"),"#N/A")</f>
        <v>#N/A</v>
      </c>
      <c r="AH128" s="83"/>
    </row>
    <row r="129" spans="1:34" ht="13.8">
      <c r="A129" s="1" t="s">
        <v>1153</v>
      </c>
      <c r="B129" s="1"/>
      <c r="AE129" s="82"/>
      <c r="AG129" s="1" t="str">
        <f ca="1">IFERROR(__xludf.DUMMYFUNCTION("QUERY(FILTER(Importrange(""1W5sXuVCo-muXq9naQExIQV7xdM6BHYSf-xzYZZUGm78"",""'T.ESCOLAR'!P:P""),Importrange(""1W5sXuVCo-muXq9naQExIQV7xdM6BHYSf-xzYZZUGm78"",""'T.ESCOLAR'!B:B"") =Escolares!A129), ""Select * Limit 10"" , 1)"),"#N/A")</f>
        <v>#N/A</v>
      </c>
      <c r="AH129" s="83"/>
    </row>
    <row r="130" spans="1:34" ht="13.8">
      <c r="A130" s="1" t="s">
        <v>1154</v>
      </c>
      <c r="B130" s="1"/>
      <c r="AE130" s="82"/>
      <c r="AG130" s="1" t="str">
        <f ca="1">IFERROR(__xludf.DUMMYFUNCTION("QUERY(FILTER(Importrange(""1W5sXuVCo-muXq9naQExIQV7xdM6BHYSf-xzYZZUGm78"",""'T.ESCOLAR'!P:P""),Importrange(""1W5sXuVCo-muXq9naQExIQV7xdM6BHYSf-xzYZZUGm78"",""'T.ESCOLAR'!B:B"") =Escolares!A130), ""Select * Limit 10"" , 1)"),"#N/A")</f>
        <v>#N/A</v>
      </c>
      <c r="AH130" s="83"/>
    </row>
    <row r="131" spans="1:34" ht="13.8">
      <c r="A131" s="1" t="s">
        <v>1155</v>
      </c>
      <c r="B131" s="1"/>
      <c r="AE131" s="82"/>
      <c r="AG131" s="1" t="str">
        <f ca="1">IFERROR(__xludf.DUMMYFUNCTION("QUERY(FILTER(Importrange(""1W5sXuVCo-muXq9naQExIQV7xdM6BHYSf-xzYZZUGm78"",""'T.ESCOLAR'!P:P""),Importrange(""1W5sXuVCo-muXq9naQExIQV7xdM6BHYSf-xzYZZUGm78"",""'T.ESCOLAR'!B:B"") =Escolares!A131), ""Select * Limit 10"" , 1)"),"#N/A")</f>
        <v>#N/A</v>
      </c>
      <c r="AH131" s="83"/>
    </row>
    <row r="132" spans="1:34" ht="13.8">
      <c r="A132" s="1" t="s">
        <v>1156</v>
      </c>
      <c r="B132" s="1"/>
      <c r="AE132" s="82"/>
      <c r="AG132" s="1" t="str">
        <f ca="1">IFERROR(__xludf.DUMMYFUNCTION("QUERY(FILTER(Importrange(""1W5sXuVCo-muXq9naQExIQV7xdM6BHYSf-xzYZZUGm78"",""'T.ESCOLAR'!P:P""),Importrange(""1W5sXuVCo-muXq9naQExIQV7xdM6BHYSf-xzYZZUGm78"",""'T.ESCOLAR'!B:B"") =Escolares!A132), ""Select * Limit 10"" , 1)"),"#N/A")</f>
        <v>#N/A</v>
      </c>
      <c r="AH132" s="83"/>
    </row>
    <row r="133" spans="1:34" ht="13.8">
      <c r="A133" s="1" t="s">
        <v>1157</v>
      </c>
      <c r="B133" s="1"/>
      <c r="AE133" s="82"/>
      <c r="AG133" s="1" t="str">
        <f ca="1">IFERROR(__xludf.DUMMYFUNCTION("QUERY(FILTER(Importrange(""1W5sXuVCo-muXq9naQExIQV7xdM6BHYSf-xzYZZUGm78"",""'T.ESCOLAR'!P:P""),Importrange(""1W5sXuVCo-muXq9naQExIQV7xdM6BHYSf-xzYZZUGm78"",""'T.ESCOLAR'!B:B"") =Escolares!A133), ""Select * Limit 10"" , 1)"),"#N/A")</f>
        <v>#N/A</v>
      </c>
      <c r="AH133" s="83"/>
    </row>
    <row r="134" spans="1:34" ht="13.8">
      <c r="A134" s="1" t="s">
        <v>1158</v>
      </c>
      <c r="B134" s="1"/>
      <c r="AE134" s="82"/>
      <c r="AG134" s="1" t="str">
        <f ca="1">IFERROR(__xludf.DUMMYFUNCTION("QUERY(FILTER(Importrange(""1W5sXuVCo-muXq9naQExIQV7xdM6BHYSf-xzYZZUGm78"",""'T.ESCOLAR'!P:P""),Importrange(""1W5sXuVCo-muXq9naQExIQV7xdM6BHYSf-xzYZZUGm78"",""'T.ESCOLAR'!B:B"") =Escolares!A134), ""Select * Limit 10"" , 1)"),"#N/A")</f>
        <v>#N/A</v>
      </c>
      <c r="AH134" s="83"/>
    </row>
    <row r="135" spans="1:34" ht="13.8">
      <c r="A135" s="1" t="s">
        <v>1159</v>
      </c>
      <c r="B135" s="1"/>
      <c r="AE135" s="82"/>
      <c r="AG135" s="1" t="str">
        <f ca="1">IFERROR(__xludf.DUMMYFUNCTION("QUERY(FILTER(Importrange(""1W5sXuVCo-muXq9naQExIQV7xdM6BHYSf-xzYZZUGm78"",""'T.ESCOLAR'!P:P""),Importrange(""1W5sXuVCo-muXq9naQExIQV7xdM6BHYSf-xzYZZUGm78"",""'T.ESCOLAR'!B:B"") =Escolares!A135), ""Select * Limit 10"" , 1)"),"#N/A")</f>
        <v>#N/A</v>
      </c>
      <c r="AH135" s="83"/>
    </row>
    <row r="136" spans="1:34" ht="13.8">
      <c r="A136" s="1" t="s">
        <v>1160</v>
      </c>
      <c r="B136" s="1"/>
      <c r="AE136" s="82"/>
      <c r="AG136" s="1" t="str">
        <f ca="1">IFERROR(__xludf.DUMMYFUNCTION("QUERY(FILTER(Importrange(""1W5sXuVCo-muXq9naQExIQV7xdM6BHYSf-xzYZZUGm78"",""'T.ESCOLAR'!P:P""),Importrange(""1W5sXuVCo-muXq9naQExIQV7xdM6BHYSf-xzYZZUGm78"",""'T.ESCOLAR'!B:B"") =Escolares!A136), ""Select * Limit 10"" , 1)"),"#N/A")</f>
        <v>#N/A</v>
      </c>
      <c r="AH136" s="83"/>
    </row>
    <row r="137" spans="1:34" ht="13.8">
      <c r="A137" s="1" t="s">
        <v>1161</v>
      </c>
      <c r="B137" s="1"/>
      <c r="AE137" s="82"/>
      <c r="AG137" s="1" t="str">
        <f ca="1">IFERROR(__xludf.DUMMYFUNCTION("QUERY(FILTER(Importrange(""1W5sXuVCo-muXq9naQExIQV7xdM6BHYSf-xzYZZUGm78"",""'T.ESCOLAR'!P:P""),Importrange(""1W5sXuVCo-muXq9naQExIQV7xdM6BHYSf-xzYZZUGm78"",""'T.ESCOLAR'!B:B"") =Escolares!A137), ""Select * Limit 10"" , 1)"),"#N/A")</f>
        <v>#N/A</v>
      </c>
      <c r="AH137" s="83"/>
    </row>
    <row r="138" spans="1:34" ht="13.8">
      <c r="A138" s="1" t="s">
        <v>1162</v>
      </c>
      <c r="B138" s="1"/>
      <c r="AE138" s="82"/>
      <c r="AG138" s="1" t="str">
        <f ca="1">IFERROR(__xludf.DUMMYFUNCTION("QUERY(FILTER(Importrange(""1W5sXuVCo-muXq9naQExIQV7xdM6BHYSf-xzYZZUGm78"",""'T.ESCOLAR'!P:P""),Importrange(""1W5sXuVCo-muXq9naQExIQV7xdM6BHYSf-xzYZZUGm78"",""'T.ESCOLAR'!B:B"") =Escolares!A138), ""Select * Limit 10"" , 1)"),"#N/A")</f>
        <v>#N/A</v>
      </c>
      <c r="AH138" s="83"/>
    </row>
    <row r="139" spans="1:34" ht="13.8">
      <c r="A139" s="1" t="s">
        <v>1163</v>
      </c>
      <c r="B139" s="1"/>
      <c r="AE139" s="82"/>
      <c r="AG139" s="1" t="str">
        <f ca="1">IFERROR(__xludf.DUMMYFUNCTION("QUERY(FILTER(Importrange(""1W5sXuVCo-muXq9naQExIQV7xdM6BHYSf-xzYZZUGm78"",""'T.ESCOLAR'!P:P""),Importrange(""1W5sXuVCo-muXq9naQExIQV7xdM6BHYSf-xzYZZUGm78"",""'T.ESCOLAR'!B:B"") =Escolares!A139), ""Select * Limit 10"" , 1)"),"#N/A")</f>
        <v>#N/A</v>
      </c>
      <c r="AH139" s="83"/>
    </row>
    <row r="140" spans="1:34" ht="13.8">
      <c r="A140" s="1" t="s">
        <v>1164</v>
      </c>
      <c r="B140" s="1"/>
      <c r="AE140" s="82"/>
      <c r="AG140" s="1" t="str">
        <f ca="1">IFERROR(__xludf.DUMMYFUNCTION("QUERY(FILTER(Importrange(""1W5sXuVCo-muXq9naQExIQV7xdM6BHYSf-xzYZZUGm78"",""'T.ESCOLAR'!P:P""),Importrange(""1W5sXuVCo-muXq9naQExIQV7xdM6BHYSf-xzYZZUGm78"",""'T.ESCOLAR'!B:B"") =Escolares!A140), ""Select * Limit 10"" , 1)"),"#N/A")</f>
        <v>#N/A</v>
      </c>
      <c r="AH140" s="83"/>
    </row>
    <row r="141" spans="1:34" ht="13.8">
      <c r="A141" s="1" t="s">
        <v>1165</v>
      </c>
      <c r="B141" s="1" t="s">
        <v>1360</v>
      </c>
      <c r="C141" s="1" t="s">
        <v>844</v>
      </c>
      <c r="G141" s="1" t="s">
        <v>1753</v>
      </c>
      <c r="H141" s="1" t="s">
        <v>1754</v>
      </c>
      <c r="I141" s="1">
        <v>20151412</v>
      </c>
      <c r="J141" s="1" t="s">
        <v>1755</v>
      </c>
      <c r="K141" s="1" t="s">
        <v>1756</v>
      </c>
      <c r="L141" s="1">
        <v>1168664420</v>
      </c>
      <c r="N141" s="1" t="s">
        <v>1757</v>
      </c>
      <c r="O141" s="1" t="s">
        <v>1753</v>
      </c>
      <c r="P141" s="1" t="s">
        <v>1754</v>
      </c>
      <c r="Q141" s="1">
        <v>20151412</v>
      </c>
      <c r="R141" s="1">
        <v>20151412</v>
      </c>
      <c r="T141" s="1" t="s">
        <v>1755</v>
      </c>
      <c r="U141" s="1" t="s">
        <v>1756</v>
      </c>
      <c r="V141" s="1" t="s">
        <v>1753</v>
      </c>
      <c r="W141" s="1" t="s">
        <v>1758</v>
      </c>
      <c r="X141" s="1">
        <v>40285897</v>
      </c>
      <c r="Y141" s="1" t="s">
        <v>1759</v>
      </c>
      <c r="Z141" s="1" t="s">
        <v>1760</v>
      </c>
      <c r="AA141" s="1" t="s">
        <v>842</v>
      </c>
      <c r="AB141" s="1" t="s">
        <v>140</v>
      </c>
      <c r="AC141" s="7" t="s">
        <v>843</v>
      </c>
      <c r="AD141" s="1">
        <v>2012</v>
      </c>
      <c r="AE141" s="10">
        <v>41120</v>
      </c>
      <c r="AF141" s="7" t="s">
        <v>500</v>
      </c>
      <c r="AG141" s="1" t="str">
        <f ca="1">IFERROR(__xludf.DUMMYFUNCTION("QUERY(FILTER(Importrange(""1W5sXuVCo-muXq9naQExIQV7xdM6BHYSf-xzYZZUGm78"",""'T.ESCOLAR'!P:P""),Importrange(""1W5sXuVCo-muXq9naQExIQV7xdM6BHYSf-xzYZZUGm78"",""'T.ESCOLAR'!B:B"") =Escolares!A141), ""Select * Limit 10"" , 1)"),"#N/A")</f>
        <v>#N/A</v>
      </c>
      <c r="AH141" s="83"/>
    </row>
    <row r="142" spans="1:34" ht="13.8">
      <c r="A142" s="1" t="s">
        <v>1166</v>
      </c>
      <c r="B142" s="1" t="s">
        <v>1379</v>
      </c>
      <c r="C142" s="12" t="s">
        <v>795</v>
      </c>
      <c r="G142" s="1" t="s">
        <v>1761</v>
      </c>
      <c r="H142" s="1" t="s">
        <v>1762</v>
      </c>
      <c r="I142" s="1">
        <v>14925151</v>
      </c>
      <c r="J142" s="1" t="s">
        <v>1763</v>
      </c>
      <c r="K142" s="1" t="s">
        <v>1394</v>
      </c>
      <c r="L142" s="1">
        <v>1151521270</v>
      </c>
      <c r="N142" s="1" t="s">
        <v>999</v>
      </c>
      <c r="O142" s="1" t="s">
        <v>1761</v>
      </c>
      <c r="P142" s="1" t="s">
        <v>1762</v>
      </c>
      <c r="Q142" s="1">
        <v>14925151</v>
      </c>
      <c r="R142" s="1">
        <v>14925151</v>
      </c>
      <c r="T142" s="1" t="s">
        <v>1763</v>
      </c>
      <c r="U142" s="1" t="s">
        <v>1394</v>
      </c>
      <c r="V142" s="1" t="s">
        <v>1628</v>
      </c>
      <c r="W142" s="1" t="s">
        <v>1764</v>
      </c>
      <c r="X142" s="1">
        <v>40471958</v>
      </c>
      <c r="Y142" s="1" t="s">
        <v>1765</v>
      </c>
      <c r="Z142" s="1" t="s">
        <v>1766</v>
      </c>
      <c r="AA142" s="1" t="s">
        <v>601</v>
      </c>
      <c r="AB142" s="1" t="s">
        <v>67</v>
      </c>
      <c r="AC142" s="1" t="s">
        <v>602</v>
      </c>
      <c r="AD142" s="1">
        <v>1999</v>
      </c>
      <c r="AE142" s="82">
        <v>36784</v>
      </c>
      <c r="AF142" s="1" t="s">
        <v>558</v>
      </c>
      <c r="AG142" s="1" t="str">
        <f ca="1">IFERROR(__xludf.DUMMYFUNCTION("QUERY(FILTER(Importrange(""1W5sXuVCo-muXq9naQExIQV7xdM6BHYSf-xzYZZUGm78"",""'T.ESCOLAR'!P:P""),Importrange(""1W5sXuVCo-muXq9naQExIQV7xdM6BHYSf-xzYZZUGm78"",""'T.ESCOLAR'!B:B"") =Escolares!A142), ""Select * Limit 10"" , 1)"),"#N/A")</f>
        <v>#N/A</v>
      </c>
      <c r="AH142" s="83">
        <f ca="1">DATEDIF(AE142,TODAY(),  "D")</f>
        <v>9373</v>
      </c>
    </row>
    <row r="143" spans="1:34" ht="13.8">
      <c r="A143" s="1" t="s">
        <v>1167</v>
      </c>
      <c r="B143" s="1"/>
      <c r="AE143" s="82"/>
      <c r="AG143" s="1" t="str">
        <f ca="1">IFERROR(__xludf.DUMMYFUNCTION("QUERY(FILTER(Importrange(""1W5sXuVCo-muXq9naQExIQV7xdM6BHYSf-xzYZZUGm78"",""'T.ESCOLAR'!P:P""),Importrange(""1W5sXuVCo-muXq9naQExIQV7xdM6BHYSf-xzYZZUGm78"",""'T.ESCOLAR'!B:B"") =Escolares!A143), ""Select * Limit 10"" , 1)"),"#N/A")</f>
        <v>#N/A</v>
      </c>
      <c r="AH143" s="83"/>
    </row>
    <row r="144" spans="1:34" ht="13.8">
      <c r="A144" s="1" t="s">
        <v>1168</v>
      </c>
      <c r="B144" s="1"/>
      <c r="AE144" s="82"/>
      <c r="AG144" s="1" t="str">
        <f ca="1">IFERROR(__xludf.DUMMYFUNCTION("QUERY(FILTER(Importrange(""1W5sXuVCo-muXq9naQExIQV7xdM6BHYSf-xzYZZUGm78"",""'T.ESCOLAR'!P:P""),Importrange(""1W5sXuVCo-muXq9naQExIQV7xdM6BHYSf-xzYZZUGm78"",""'T.ESCOLAR'!B:B"") =Escolares!A144), ""Select * Limit 10"" , 1)"),"#N/A")</f>
        <v>#N/A</v>
      </c>
      <c r="AH144" s="83"/>
    </row>
    <row r="145" spans="1:34" ht="13.8">
      <c r="A145" s="1" t="s">
        <v>1169</v>
      </c>
      <c r="B145" s="1"/>
      <c r="AE145" s="82"/>
      <c r="AG145" s="1" t="str">
        <f ca="1">IFERROR(__xludf.DUMMYFUNCTION("QUERY(FILTER(Importrange(""1W5sXuVCo-muXq9naQExIQV7xdM6BHYSf-xzYZZUGm78"",""'T.ESCOLAR'!P:P""),Importrange(""1W5sXuVCo-muXq9naQExIQV7xdM6BHYSf-xzYZZUGm78"",""'T.ESCOLAR'!B:B"") =Escolares!A145), ""Select * Limit 10"" , 1)"),"#N/A")</f>
        <v>#N/A</v>
      </c>
      <c r="AH145" s="83"/>
    </row>
    <row r="146" spans="1:34" ht="13.8">
      <c r="A146" s="1" t="s">
        <v>1170</v>
      </c>
      <c r="B146" s="1" t="s">
        <v>1379</v>
      </c>
      <c r="C146" s="1" t="s">
        <v>1767</v>
      </c>
      <c r="G146" s="1" t="s">
        <v>1768</v>
      </c>
      <c r="H146" s="1" t="s">
        <v>1769</v>
      </c>
      <c r="I146" s="1">
        <v>24856955</v>
      </c>
      <c r="J146" s="1" t="s">
        <v>1770</v>
      </c>
      <c r="K146" s="1" t="s">
        <v>1771</v>
      </c>
      <c r="L146" s="1">
        <v>1150470527</v>
      </c>
      <c r="N146" s="1" t="s">
        <v>1772</v>
      </c>
      <c r="O146" s="1" t="s">
        <v>1773</v>
      </c>
      <c r="P146" s="1" t="s">
        <v>1774</v>
      </c>
      <c r="Q146" s="1">
        <v>23155869</v>
      </c>
      <c r="R146" s="1">
        <v>23155869</v>
      </c>
      <c r="S146" s="82"/>
      <c r="T146" s="1" t="s">
        <v>1775</v>
      </c>
      <c r="U146" s="1" t="s">
        <v>1776</v>
      </c>
      <c r="V146" s="1" t="s">
        <v>1777</v>
      </c>
      <c r="W146" s="1" t="s">
        <v>1778</v>
      </c>
      <c r="X146" s="1">
        <v>45199318</v>
      </c>
      <c r="Y146" s="1" t="s">
        <v>1779</v>
      </c>
      <c r="Z146" s="1" t="s">
        <v>1406</v>
      </c>
      <c r="AA146" s="1" t="s">
        <v>605</v>
      </c>
      <c r="AB146" s="1" t="s">
        <v>140</v>
      </c>
      <c r="AC146" s="1" t="s">
        <v>546</v>
      </c>
      <c r="AD146" s="1">
        <v>2010</v>
      </c>
      <c r="AE146" s="82">
        <v>40182</v>
      </c>
      <c r="AF146" s="1" t="s">
        <v>487</v>
      </c>
      <c r="AG146" s="1" t="str">
        <f ca="1">IFERROR(__xludf.DUMMYFUNCTION("QUERY(FILTER(Importrange(""1W5sXuVCo-muXq9naQExIQV7xdM6BHYSf-xzYZZUGm78"",""'T.ESCOLAR'!P:P""),Importrange(""1W5sXuVCo-muXq9naQExIQV7xdM6BHYSf-xzYZZUGm78"",""'T.ESCOLAR'!B:B"") =Escolares!A146), ""Select * Limit 10"" , 1)"),"#N/A")</f>
        <v>#N/A</v>
      </c>
      <c r="AH146" s="83">
        <f ca="1">DATEDIF(AE146,TODAY(),  "D")</f>
        <v>5975</v>
      </c>
    </row>
    <row r="147" spans="1:34" ht="13.8">
      <c r="A147" s="1" t="s">
        <v>1171</v>
      </c>
      <c r="B147" s="1"/>
      <c r="AE147" s="82"/>
      <c r="AG147" s="1" t="str">
        <f ca="1">IFERROR(__xludf.DUMMYFUNCTION("QUERY(FILTER(Importrange(""1W5sXuVCo-muXq9naQExIQV7xdM6BHYSf-xzYZZUGm78"",""'T.ESCOLAR'!P:P""),Importrange(""1W5sXuVCo-muXq9naQExIQV7xdM6BHYSf-xzYZZUGm78"",""'T.ESCOLAR'!B:B"") =Escolares!A147), ""Select * Limit 10"" , 1)"),"#N/A")</f>
        <v>#N/A</v>
      </c>
      <c r="AH147" s="83"/>
    </row>
    <row r="148" spans="1:34" ht="13.8">
      <c r="A148" s="1" t="s">
        <v>1172</v>
      </c>
      <c r="B148" s="1"/>
      <c r="AE148" s="82"/>
      <c r="AG148" s="1" t="str">
        <f ca="1">IFERROR(__xludf.DUMMYFUNCTION("QUERY(FILTER(Importrange(""1W5sXuVCo-muXq9naQExIQV7xdM6BHYSf-xzYZZUGm78"",""'T.ESCOLAR'!P:P""),Importrange(""1W5sXuVCo-muXq9naQExIQV7xdM6BHYSf-xzYZZUGm78"",""'T.ESCOLAR'!B:B"") =Escolares!A148), ""Select * Limit 10"" , 1)"),"#N/A")</f>
        <v>#N/A</v>
      </c>
      <c r="AH148" s="83"/>
    </row>
    <row r="149" spans="1:34" ht="13.8">
      <c r="A149" s="1" t="s">
        <v>1173</v>
      </c>
      <c r="B149" s="1"/>
      <c r="AE149" s="82"/>
      <c r="AG149" s="1" t="str">
        <f ca="1">IFERROR(__xludf.DUMMYFUNCTION("QUERY(FILTER(Importrange(""1W5sXuVCo-muXq9naQExIQV7xdM6BHYSf-xzYZZUGm78"",""'T.ESCOLAR'!P:P""),Importrange(""1W5sXuVCo-muXq9naQExIQV7xdM6BHYSf-xzYZZUGm78"",""'T.ESCOLAR'!B:B"") =Escolares!A149), ""Select * Limit 10"" , 1)"),"#N/A")</f>
        <v>#N/A</v>
      </c>
      <c r="AH149" s="83"/>
    </row>
    <row r="150" spans="1:34" ht="13.8">
      <c r="A150" s="1" t="s">
        <v>1174</v>
      </c>
      <c r="B150" s="1"/>
      <c r="AE150" s="82"/>
      <c r="AG150" s="1" t="str">
        <f ca="1">IFERROR(__xludf.DUMMYFUNCTION("QUERY(FILTER(Importrange(""1W5sXuVCo-muXq9naQExIQV7xdM6BHYSf-xzYZZUGm78"",""'T.ESCOLAR'!P:P""),Importrange(""1W5sXuVCo-muXq9naQExIQV7xdM6BHYSf-xzYZZUGm78"",""'T.ESCOLAR'!B:B"") =Escolares!A150), ""Select * Limit 10"" , 1)"),"#N/A")</f>
        <v>#N/A</v>
      </c>
      <c r="AH150" s="83"/>
    </row>
    <row r="151" spans="1:34" ht="13.8">
      <c r="A151" s="1" t="s">
        <v>1175</v>
      </c>
      <c r="B151" s="1"/>
      <c r="AE151" s="82"/>
      <c r="AG151" s="1" t="str">
        <f ca="1">IFERROR(__xludf.DUMMYFUNCTION("QUERY(FILTER(Importrange(""1W5sXuVCo-muXq9naQExIQV7xdM6BHYSf-xzYZZUGm78"",""'T.ESCOLAR'!P:P""),Importrange(""1W5sXuVCo-muXq9naQExIQV7xdM6BHYSf-xzYZZUGm78"",""'T.ESCOLAR'!B:B"") =Escolares!A151), ""Select * Limit 10"" , 1)"),"#N/A")</f>
        <v>#N/A</v>
      </c>
      <c r="AH151" s="83"/>
    </row>
    <row r="152" spans="1:34" ht="13.8">
      <c r="A152" s="1" t="s">
        <v>1176</v>
      </c>
      <c r="B152" s="1"/>
      <c r="AE152" s="82"/>
      <c r="AG152" s="1" t="str">
        <f ca="1">IFERROR(__xludf.DUMMYFUNCTION("QUERY(FILTER(Importrange(""1W5sXuVCo-muXq9naQExIQV7xdM6BHYSf-xzYZZUGm78"",""'T.ESCOLAR'!P:P""),Importrange(""1W5sXuVCo-muXq9naQExIQV7xdM6BHYSf-xzYZZUGm78"",""'T.ESCOLAR'!B:B"") =Escolares!A152), ""Select * Limit 10"" , 1)"),"#N/A")</f>
        <v>#N/A</v>
      </c>
      <c r="AH152" s="83"/>
    </row>
    <row r="153" spans="1:34" ht="13.8">
      <c r="A153" s="1" t="s">
        <v>1177</v>
      </c>
      <c r="B153" s="1"/>
      <c r="AE153" s="82"/>
      <c r="AG153" s="1" t="str">
        <f ca="1">IFERROR(__xludf.DUMMYFUNCTION("QUERY(FILTER(Importrange(""1W5sXuVCo-muXq9naQExIQV7xdM6BHYSf-xzYZZUGm78"",""'T.ESCOLAR'!P:P""),Importrange(""1W5sXuVCo-muXq9naQExIQV7xdM6BHYSf-xzYZZUGm78"",""'T.ESCOLAR'!B:B"") =Escolares!A153), ""Select * Limit 10"" , 1)"),"#N/A")</f>
        <v>#N/A</v>
      </c>
      <c r="AH153" s="83"/>
    </row>
    <row r="154" spans="1:34" ht="13.8">
      <c r="A154" s="1" t="s">
        <v>1178</v>
      </c>
      <c r="B154" s="1"/>
      <c r="AE154" s="82"/>
      <c r="AG154" s="1" t="str">
        <f ca="1">IFERROR(__xludf.DUMMYFUNCTION("QUERY(FILTER(Importrange(""1W5sXuVCo-muXq9naQExIQV7xdM6BHYSf-xzYZZUGm78"",""'T.ESCOLAR'!P:P""),Importrange(""1W5sXuVCo-muXq9naQExIQV7xdM6BHYSf-xzYZZUGm78"",""'T.ESCOLAR'!B:B"") =Escolares!A154), ""Select * Limit 10"" , 1)"),"#N/A")</f>
        <v>#N/A</v>
      </c>
      <c r="AH154" s="83"/>
    </row>
    <row r="155" spans="1:34" ht="13.8">
      <c r="A155" s="1" t="s">
        <v>1179</v>
      </c>
      <c r="B155" s="1" t="s">
        <v>1379</v>
      </c>
      <c r="C155" s="1" t="s">
        <v>718</v>
      </c>
      <c r="G155" s="1" t="s">
        <v>1439</v>
      </c>
      <c r="H155" s="1" t="s">
        <v>1780</v>
      </c>
      <c r="I155" s="1">
        <v>34506563</v>
      </c>
      <c r="J155" s="1" t="s">
        <v>1781</v>
      </c>
      <c r="K155" s="1" t="s">
        <v>1782</v>
      </c>
      <c r="L155" s="1">
        <v>1150365429</v>
      </c>
      <c r="N155" s="1" t="s">
        <v>895</v>
      </c>
      <c r="O155" s="1" t="s">
        <v>1783</v>
      </c>
      <c r="P155" s="1" t="s">
        <v>1784</v>
      </c>
      <c r="Q155" s="1">
        <v>29523154</v>
      </c>
      <c r="R155" s="1">
        <v>29523154</v>
      </c>
      <c r="T155" s="1" t="s">
        <v>1785</v>
      </c>
      <c r="U155" s="1" t="s">
        <v>1401</v>
      </c>
      <c r="V155" s="1" t="s">
        <v>1439</v>
      </c>
      <c r="W155" s="1" t="s">
        <v>1780</v>
      </c>
      <c r="X155" s="1">
        <v>34506563</v>
      </c>
      <c r="Y155" s="1" t="s">
        <v>1781</v>
      </c>
      <c r="Z155" s="1" t="s">
        <v>1782</v>
      </c>
      <c r="AA155" s="1" t="s">
        <v>608</v>
      </c>
      <c r="AB155" s="1" t="s">
        <v>140</v>
      </c>
      <c r="AC155" s="1" t="s">
        <v>609</v>
      </c>
      <c r="AD155" s="1">
        <v>2001</v>
      </c>
      <c r="AE155" s="82">
        <v>37048</v>
      </c>
      <c r="AF155" s="12" t="s">
        <v>487</v>
      </c>
      <c r="AG155" s="1" t="str">
        <f ca="1">IFERROR(__xludf.DUMMYFUNCTION("QUERY(FILTER(Importrange(""1W5sXuVCo-muXq9naQExIQV7xdM6BHYSf-xzYZZUGm78"",""'T.ESCOLAR'!P:P""),Importrange(""1W5sXuVCo-muXq9naQExIQV7xdM6BHYSf-xzYZZUGm78"",""'T.ESCOLAR'!B:B"") =Escolares!A155), ""Select * Limit 10"" , 1)"),"#N/A")</f>
        <v>#N/A</v>
      </c>
      <c r="AH155" s="83"/>
    </row>
    <row r="156" spans="1:34" ht="13.8">
      <c r="A156" s="1" t="s">
        <v>1180</v>
      </c>
      <c r="B156" s="1"/>
      <c r="AE156" s="82"/>
      <c r="AG156" s="1" t="str">
        <f ca="1">IFERROR(__xludf.DUMMYFUNCTION("QUERY(FILTER(Importrange(""1W5sXuVCo-muXq9naQExIQV7xdM6BHYSf-xzYZZUGm78"",""'T.ESCOLAR'!P:P""),Importrange(""1W5sXuVCo-muXq9naQExIQV7xdM6BHYSf-xzYZZUGm78"",""'T.ESCOLAR'!B:B"") =Escolares!A156), ""Select * Limit 10"" , 1)"),"#N/A")</f>
        <v>#N/A</v>
      </c>
      <c r="AH156" s="83"/>
    </row>
    <row r="157" spans="1:34" ht="13.8">
      <c r="A157" s="1" t="s">
        <v>1181</v>
      </c>
      <c r="B157" s="1"/>
      <c r="AE157" s="82"/>
      <c r="AG157" s="1" t="str">
        <f ca="1">IFERROR(__xludf.DUMMYFUNCTION("QUERY(FILTER(Importrange(""1W5sXuVCo-muXq9naQExIQV7xdM6BHYSf-xzYZZUGm78"",""'T.ESCOLAR'!P:P""),Importrange(""1W5sXuVCo-muXq9naQExIQV7xdM6BHYSf-xzYZZUGm78"",""'T.ESCOLAR'!B:B"") =Escolares!A157), ""Select * Limit 10"" , 1)"),"#N/A")</f>
        <v>#N/A</v>
      </c>
      <c r="AH157" s="83"/>
    </row>
    <row r="158" spans="1:34" ht="13.8">
      <c r="A158" s="1" t="s">
        <v>1182</v>
      </c>
      <c r="B158" s="1"/>
      <c r="AE158" s="82"/>
      <c r="AG158" s="1" t="str">
        <f ca="1">IFERROR(__xludf.DUMMYFUNCTION("QUERY(FILTER(Importrange(""1W5sXuVCo-muXq9naQExIQV7xdM6BHYSf-xzYZZUGm78"",""'T.ESCOLAR'!P:P""),Importrange(""1W5sXuVCo-muXq9naQExIQV7xdM6BHYSf-xzYZZUGm78"",""'T.ESCOLAR'!B:B"") =Escolares!A158), ""Select * Limit 10"" , 1)"),"#N/A")</f>
        <v>#N/A</v>
      </c>
      <c r="AH158" s="83"/>
    </row>
    <row r="159" spans="1:34" ht="13.8">
      <c r="A159" s="1" t="s">
        <v>1183</v>
      </c>
      <c r="B159" s="1"/>
      <c r="AE159" s="82"/>
      <c r="AG159" s="1" t="str">
        <f ca="1">IFERROR(__xludf.DUMMYFUNCTION("QUERY(FILTER(Importrange(""1W5sXuVCo-muXq9naQExIQV7xdM6BHYSf-xzYZZUGm78"",""'T.ESCOLAR'!P:P""),Importrange(""1W5sXuVCo-muXq9naQExIQV7xdM6BHYSf-xzYZZUGm78"",""'T.ESCOLAR'!B:B"") =Escolares!A159), ""Select * Limit 10"" , 1)"),"#N/A")</f>
        <v>#N/A</v>
      </c>
      <c r="AH159" s="83"/>
    </row>
    <row r="160" spans="1:34" ht="13.8">
      <c r="A160" s="1" t="s">
        <v>1184</v>
      </c>
      <c r="B160" s="1"/>
      <c r="AE160" s="82"/>
      <c r="AG160" s="1" t="str">
        <f ca="1">IFERROR(__xludf.DUMMYFUNCTION("QUERY(FILTER(Importrange(""1W5sXuVCo-muXq9naQExIQV7xdM6BHYSf-xzYZZUGm78"",""'T.ESCOLAR'!P:P""),Importrange(""1W5sXuVCo-muXq9naQExIQV7xdM6BHYSf-xzYZZUGm78"",""'T.ESCOLAR'!B:B"") =Escolares!A160), ""Select * Limit 10"" , 1)"),"#N/A")</f>
        <v>#N/A</v>
      </c>
      <c r="AH160" s="83"/>
    </row>
    <row r="161" spans="1:34" ht="13.8">
      <c r="A161" s="1" t="s">
        <v>1185</v>
      </c>
      <c r="B161" s="1"/>
      <c r="AE161" s="82"/>
      <c r="AG161" s="1" t="str">
        <f ca="1">IFERROR(__xludf.DUMMYFUNCTION("QUERY(FILTER(Importrange(""1W5sXuVCo-muXq9naQExIQV7xdM6BHYSf-xzYZZUGm78"",""'T.ESCOLAR'!P:P""),Importrange(""1W5sXuVCo-muXq9naQExIQV7xdM6BHYSf-xzYZZUGm78"",""'T.ESCOLAR'!B:B"") =Escolares!A161), ""Select * Limit 10"" , 1)"),"#N/A")</f>
        <v>#N/A</v>
      </c>
      <c r="AH161" s="83"/>
    </row>
    <row r="162" spans="1:34" ht="13.8">
      <c r="A162" s="1" t="s">
        <v>1186</v>
      </c>
      <c r="B162" s="1"/>
      <c r="AE162" s="82"/>
      <c r="AG162" s="1" t="str">
        <f ca="1">IFERROR(__xludf.DUMMYFUNCTION("QUERY(FILTER(Importrange(""1W5sXuVCo-muXq9naQExIQV7xdM6BHYSf-xzYZZUGm78"",""'T.ESCOLAR'!P:P""),Importrange(""1W5sXuVCo-muXq9naQExIQV7xdM6BHYSf-xzYZZUGm78"",""'T.ESCOLAR'!B:B"") =Escolares!A162), ""Select * Limit 10"" , 1)"),"#N/A")</f>
        <v>#N/A</v>
      </c>
      <c r="AH162" s="83"/>
    </row>
    <row r="163" spans="1:34" ht="13.8">
      <c r="A163" s="1" t="s">
        <v>1187</v>
      </c>
      <c r="B163" s="1"/>
      <c r="AE163" s="82"/>
      <c r="AG163" s="1" t="str">
        <f ca="1">IFERROR(__xludf.DUMMYFUNCTION("QUERY(FILTER(Importrange(""1W5sXuVCo-muXq9naQExIQV7xdM6BHYSf-xzYZZUGm78"",""'T.ESCOLAR'!P:P""),Importrange(""1W5sXuVCo-muXq9naQExIQV7xdM6BHYSf-xzYZZUGm78"",""'T.ESCOLAR'!B:B"") =Escolares!A163), ""Select * Limit 10"" , 1)"),"#N/A")</f>
        <v>#N/A</v>
      </c>
      <c r="AH163" s="83"/>
    </row>
    <row r="164" spans="1:34" ht="13.8">
      <c r="A164" s="1" t="s">
        <v>1188</v>
      </c>
      <c r="B164" s="1"/>
      <c r="AE164" s="82"/>
      <c r="AG164" s="1" t="str">
        <f ca="1">IFERROR(__xludf.DUMMYFUNCTION("QUERY(FILTER(Importrange(""1W5sXuVCo-muXq9naQExIQV7xdM6BHYSf-xzYZZUGm78"",""'T.ESCOLAR'!P:P""),Importrange(""1W5sXuVCo-muXq9naQExIQV7xdM6BHYSf-xzYZZUGm78"",""'T.ESCOLAR'!B:B"") =Escolares!A164), ""Select * Limit 10"" , 1)"),"#N/A")</f>
        <v>#N/A</v>
      </c>
      <c r="AH164" s="83"/>
    </row>
    <row r="165" spans="1:34" ht="13.8">
      <c r="A165" s="1" t="s">
        <v>1189</v>
      </c>
      <c r="B165" s="1"/>
      <c r="AE165" s="82"/>
      <c r="AG165" s="1" t="str">
        <f ca="1">IFERROR(__xludf.DUMMYFUNCTION("QUERY(FILTER(Importrange(""1W5sXuVCo-muXq9naQExIQV7xdM6BHYSf-xzYZZUGm78"",""'T.ESCOLAR'!P:P""),Importrange(""1W5sXuVCo-muXq9naQExIQV7xdM6BHYSf-xzYZZUGm78"",""'T.ESCOLAR'!B:B"") =Escolares!A165), ""Select * Limit 10"" , 1)"),"#N/A")</f>
        <v>#N/A</v>
      </c>
      <c r="AH165" s="83"/>
    </row>
    <row r="166" spans="1:34" ht="13.8">
      <c r="A166" s="1" t="s">
        <v>1190</v>
      </c>
      <c r="B166" s="1"/>
      <c r="AE166" s="82"/>
      <c r="AG166" s="1" t="str">
        <f ca="1">IFERROR(__xludf.DUMMYFUNCTION("QUERY(FILTER(Importrange(""1W5sXuVCo-muXq9naQExIQV7xdM6BHYSf-xzYZZUGm78"",""'T.ESCOLAR'!P:P""),Importrange(""1W5sXuVCo-muXq9naQExIQV7xdM6BHYSf-xzYZZUGm78"",""'T.ESCOLAR'!B:B"") =Escolares!A166), ""Select * Limit 10"" , 1)"),"#N/A")</f>
        <v>#N/A</v>
      </c>
      <c r="AH166" s="83"/>
    </row>
    <row r="167" spans="1:34" ht="13.8">
      <c r="A167" s="1" t="s">
        <v>1191</v>
      </c>
      <c r="B167" s="1"/>
      <c r="AE167" s="82"/>
      <c r="AG167" s="1" t="str">
        <f ca="1">IFERROR(__xludf.DUMMYFUNCTION("QUERY(FILTER(Importrange(""1W5sXuVCo-muXq9naQExIQV7xdM6BHYSf-xzYZZUGm78"",""'T.ESCOLAR'!P:P""),Importrange(""1W5sXuVCo-muXq9naQExIQV7xdM6BHYSf-xzYZZUGm78"",""'T.ESCOLAR'!B:B"") =Escolares!A167), ""Select * Limit 10"" , 1)"),"#N/A")</f>
        <v>#N/A</v>
      </c>
      <c r="AH167" s="83"/>
    </row>
    <row r="168" spans="1:34" ht="13.8">
      <c r="A168" s="1" t="s">
        <v>1192</v>
      </c>
      <c r="B168" s="1" t="s">
        <v>1379</v>
      </c>
      <c r="C168" s="12" t="s">
        <v>758</v>
      </c>
      <c r="G168" s="1" t="s">
        <v>1786</v>
      </c>
      <c r="H168" s="1" t="s">
        <v>1387</v>
      </c>
      <c r="I168" s="1">
        <v>14000352</v>
      </c>
      <c r="J168" s="1" t="s">
        <v>1787</v>
      </c>
      <c r="K168" s="1" t="s">
        <v>1420</v>
      </c>
      <c r="L168" s="1">
        <v>1569989509</v>
      </c>
      <c r="N168" s="1" t="s">
        <v>1788</v>
      </c>
      <c r="O168" s="1" t="s">
        <v>1786</v>
      </c>
      <c r="P168" s="1" t="s">
        <v>1387</v>
      </c>
      <c r="Q168" s="1">
        <v>14000352</v>
      </c>
      <c r="R168" s="1">
        <v>14000352</v>
      </c>
      <c r="T168" s="1" t="s">
        <v>1787</v>
      </c>
      <c r="U168" s="1" t="s">
        <v>1420</v>
      </c>
      <c r="V168" s="1" t="s">
        <v>1789</v>
      </c>
      <c r="W168" s="1" t="s">
        <v>1790</v>
      </c>
      <c r="X168" s="1">
        <v>12350302</v>
      </c>
      <c r="Y168" s="1" t="s">
        <v>1787</v>
      </c>
      <c r="Z168" s="1" t="s">
        <v>1420</v>
      </c>
      <c r="AA168" s="1" t="s">
        <v>612</v>
      </c>
      <c r="AB168" s="1" t="s">
        <v>12</v>
      </c>
      <c r="AC168" s="1" t="s">
        <v>613</v>
      </c>
      <c r="AD168" s="1">
        <v>2012</v>
      </c>
      <c r="AE168" s="82">
        <v>40997</v>
      </c>
      <c r="AF168" s="1" t="s">
        <v>500</v>
      </c>
      <c r="AG168" s="1" t="str">
        <f ca="1">IFERROR(__xludf.DUMMYFUNCTION("QUERY(FILTER(Importrange(""1W5sXuVCo-muXq9naQExIQV7xdM6BHYSf-xzYZZUGm78"",""'T.ESCOLAR'!P:P""),Importrange(""1W5sXuVCo-muXq9naQExIQV7xdM6BHYSf-xzYZZUGm78"",""'T.ESCOLAR'!B:B"") =Escolares!A168), ""Select * Limit 10"" , 1)"),"#N/A")</f>
        <v>#N/A</v>
      </c>
      <c r="AH168" s="83">
        <f ca="1">DATEDIF(AE168,TODAY(),  "D")</f>
        <v>5160</v>
      </c>
    </row>
    <row r="169" spans="1:34" ht="13.8">
      <c r="A169" s="1" t="s">
        <v>1193</v>
      </c>
      <c r="B169" s="1"/>
      <c r="AE169" s="82"/>
      <c r="AG169" s="1" t="str">
        <f ca="1">IFERROR(__xludf.DUMMYFUNCTION("QUERY(FILTER(Importrange(""1W5sXuVCo-muXq9naQExIQV7xdM6BHYSf-xzYZZUGm78"",""'T.ESCOLAR'!P:P""),Importrange(""1W5sXuVCo-muXq9naQExIQV7xdM6BHYSf-xzYZZUGm78"",""'T.ESCOLAR'!B:B"") =Escolares!A169), ""Select * Limit 10"" , 1)"),"#N/A")</f>
        <v>#N/A</v>
      </c>
      <c r="AH169" s="83"/>
    </row>
    <row r="170" spans="1:34" ht="13.8">
      <c r="A170" s="1" t="s">
        <v>1194</v>
      </c>
      <c r="B170" s="1"/>
      <c r="AE170" s="82"/>
      <c r="AG170" s="1" t="str">
        <f ca="1">IFERROR(__xludf.DUMMYFUNCTION("QUERY(FILTER(Importrange(""1W5sXuVCo-muXq9naQExIQV7xdM6BHYSf-xzYZZUGm78"",""'T.ESCOLAR'!P:P""),Importrange(""1W5sXuVCo-muXq9naQExIQV7xdM6BHYSf-xzYZZUGm78"",""'T.ESCOLAR'!B:B"") =Escolares!A170), ""Select * Limit 10"" , 1)"),"#N/A")</f>
        <v>#N/A</v>
      </c>
      <c r="AH170" s="83"/>
    </row>
    <row r="171" spans="1:34" ht="13.8">
      <c r="A171" s="1" t="s">
        <v>1195</v>
      </c>
      <c r="B171" s="1"/>
      <c r="AE171" s="82"/>
      <c r="AG171" s="1" t="str">
        <f ca="1">IFERROR(__xludf.DUMMYFUNCTION("QUERY(FILTER(Importrange(""1W5sXuVCo-muXq9naQExIQV7xdM6BHYSf-xzYZZUGm78"",""'T.ESCOLAR'!P:P""),Importrange(""1W5sXuVCo-muXq9naQExIQV7xdM6BHYSf-xzYZZUGm78"",""'T.ESCOLAR'!B:B"") =Escolares!A171), ""Select * Limit 10"" , 1)"),"#N/A")</f>
        <v>#N/A</v>
      </c>
      <c r="AH171" s="83"/>
    </row>
    <row r="172" spans="1:34" ht="13.8">
      <c r="A172" s="1" t="s">
        <v>1196</v>
      </c>
      <c r="B172" s="1"/>
      <c r="AE172" s="82"/>
      <c r="AG172" s="1" t="str">
        <f ca="1">IFERROR(__xludf.DUMMYFUNCTION("QUERY(FILTER(Importrange(""1W5sXuVCo-muXq9naQExIQV7xdM6BHYSf-xzYZZUGm78"",""'T.ESCOLAR'!P:P""),Importrange(""1W5sXuVCo-muXq9naQExIQV7xdM6BHYSf-xzYZZUGm78"",""'T.ESCOLAR'!B:B"") =Escolares!A172), ""Select * Limit 10"" , 1)"),"#N/A")</f>
        <v>#N/A</v>
      </c>
      <c r="AH172" s="83"/>
    </row>
    <row r="173" spans="1:34" ht="13.8">
      <c r="A173" s="1" t="s">
        <v>1197</v>
      </c>
      <c r="B173" s="1"/>
      <c r="AE173" s="82"/>
      <c r="AG173" s="1" t="str">
        <f ca="1">IFERROR(__xludf.DUMMYFUNCTION("QUERY(FILTER(Importrange(""1W5sXuVCo-muXq9naQExIQV7xdM6BHYSf-xzYZZUGm78"",""'T.ESCOLAR'!P:P""),Importrange(""1W5sXuVCo-muXq9naQExIQV7xdM6BHYSf-xzYZZUGm78"",""'T.ESCOLAR'!B:B"") =Escolares!A173), ""Select * Limit 10"" , 1)"),"#N/A")</f>
        <v>#N/A</v>
      </c>
      <c r="AH173" s="83"/>
    </row>
    <row r="174" spans="1:34" ht="13.8">
      <c r="A174" s="1" t="s">
        <v>1198</v>
      </c>
      <c r="B174" s="1"/>
      <c r="AE174" s="82"/>
      <c r="AG174" s="1" t="str">
        <f ca="1">IFERROR(__xludf.DUMMYFUNCTION("QUERY(FILTER(Importrange(""1W5sXuVCo-muXq9naQExIQV7xdM6BHYSf-xzYZZUGm78"",""'T.ESCOLAR'!P:P""),Importrange(""1W5sXuVCo-muXq9naQExIQV7xdM6BHYSf-xzYZZUGm78"",""'T.ESCOLAR'!B:B"") =Escolares!A174), ""Select * Limit 10"" , 1)"),"#N/A")</f>
        <v>#N/A</v>
      </c>
      <c r="AH174" s="83"/>
    </row>
    <row r="175" spans="1:34" ht="13.8">
      <c r="A175" s="1" t="s">
        <v>1199</v>
      </c>
      <c r="B175" s="1"/>
      <c r="AE175" s="82"/>
      <c r="AG175" s="1" t="str">
        <f ca="1">IFERROR(__xludf.DUMMYFUNCTION("QUERY(FILTER(Importrange(""1W5sXuVCo-muXq9naQExIQV7xdM6BHYSf-xzYZZUGm78"",""'T.ESCOLAR'!P:P""),Importrange(""1W5sXuVCo-muXq9naQExIQV7xdM6BHYSf-xzYZZUGm78"",""'T.ESCOLAR'!B:B"") =Escolares!A175), ""Select * Limit 10"" , 1)"),"#N/A")</f>
        <v>#N/A</v>
      </c>
      <c r="AH175" s="83"/>
    </row>
    <row r="176" spans="1:34" ht="13.8">
      <c r="A176" s="1" t="s">
        <v>1200</v>
      </c>
      <c r="B176" s="1"/>
      <c r="AE176" s="82"/>
      <c r="AG176" s="1" t="str">
        <f ca="1">IFERROR(__xludf.DUMMYFUNCTION("QUERY(FILTER(Importrange(""1W5sXuVCo-muXq9naQExIQV7xdM6BHYSf-xzYZZUGm78"",""'T.ESCOLAR'!P:P""),Importrange(""1W5sXuVCo-muXq9naQExIQV7xdM6BHYSf-xzYZZUGm78"",""'T.ESCOLAR'!B:B"") =Escolares!A176), ""Select * Limit 10"" , 1)"),"#N/A")</f>
        <v>#N/A</v>
      </c>
      <c r="AH176" s="83"/>
    </row>
    <row r="177" spans="1:34" ht="13.8">
      <c r="A177" s="1" t="s">
        <v>1201</v>
      </c>
      <c r="B177" s="1"/>
      <c r="AE177" s="82"/>
      <c r="AG177" s="1" t="str">
        <f ca="1">IFERROR(__xludf.DUMMYFUNCTION("QUERY(FILTER(Importrange(""1W5sXuVCo-muXq9naQExIQV7xdM6BHYSf-xzYZZUGm78"",""'T.ESCOLAR'!P:P""),Importrange(""1W5sXuVCo-muXq9naQExIQV7xdM6BHYSf-xzYZZUGm78"",""'T.ESCOLAR'!B:B"") =Escolares!A177), ""Select * Limit 10"" , 1)"),"#N/A")</f>
        <v>#N/A</v>
      </c>
      <c r="AH177" s="83"/>
    </row>
    <row r="178" spans="1:34" ht="13.8">
      <c r="A178" s="1" t="s">
        <v>1202</v>
      </c>
      <c r="B178" s="1"/>
      <c r="AE178" s="82"/>
      <c r="AG178" s="1" t="str">
        <f ca="1">IFERROR(__xludf.DUMMYFUNCTION("QUERY(FILTER(Importrange(""1W5sXuVCo-muXq9naQExIQV7xdM6BHYSf-xzYZZUGm78"",""'T.ESCOLAR'!P:P""),Importrange(""1W5sXuVCo-muXq9naQExIQV7xdM6BHYSf-xzYZZUGm78"",""'T.ESCOLAR'!B:B"") =Escolares!A178), ""Select * Limit 10"" , 1)"),"#N/A")</f>
        <v>#N/A</v>
      </c>
      <c r="AH178" s="83"/>
    </row>
    <row r="179" spans="1:34" ht="13.8">
      <c r="A179" s="1" t="s">
        <v>1203</v>
      </c>
      <c r="B179" s="1"/>
      <c r="AE179" s="82"/>
      <c r="AG179" s="1" t="str">
        <f ca="1">IFERROR(__xludf.DUMMYFUNCTION("QUERY(FILTER(Importrange(""1W5sXuVCo-muXq9naQExIQV7xdM6BHYSf-xzYZZUGm78"",""'T.ESCOLAR'!P:P""),Importrange(""1W5sXuVCo-muXq9naQExIQV7xdM6BHYSf-xzYZZUGm78"",""'T.ESCOLAR'!B:B"") =Escolares!A179), ""Select * Limit 10"" , 1)"),"#N/A")</f>
        <v>#N/A</v>
      </c>
      <c r="AH179" s="83"/>
    </row>
    <row r="180" spans="1:34" ht="13.8">
      <c r="A180" s="1" t="s">
        <v>1204</v>
      </c>
      <c r="B180" s="1" t="s">
        <v>1379</v>
      </c>
      <c r="C180" s="1" t="s">
        <v>761</v>
      </c>
      <c r="G180" s="1" t="s">
        <v>1714</v>
      </c>
      <c r="H180" s="1" t="s">
        <v>1791</v>
      </c>
      <c r="I180" s="1">
        <v>22335998</v>
      </c>
      <c r="J180" s="1" t="s">
        <v>1716</v>
      </c>
      <c r="K180" s="1" t="s">
        <v>1406</v>
      </c>
      <c r="L180" s="1">
        <v>1130912300</v>
      </c>
      <c r="M180" s="1">
        <v>134922812</v>
      </c>
      <c r="N180" s="1" t="s">
        <v>1792</v>
      </c>
      <c r="O180" s="1" t="s">
        <v>1714</v>
      </c>
      <c r="P180" s="1" t="s">
        <v>1791</v>
      </c>
      <c r="Q180" s="1">
        <v>22335998</v>
      </c>
      <c r="R180" s="1">
        <v>22335998</v>
      </c>
      <c r="S180" s="84">
        <v>45295</v>
      </c>
      <c r="T180" s="1" t="s">
        <v>1716</v>
      </c>
      <c r="U180" s="1" t="s">
        <v>1406</v>
      </c>
      <c r="V180" s="1" t="s">
        <v>1793</v>
      </c>
      <c r="W180" s="1" t="s">
        <v>1794</v>
      </c>
      <c r="X180" s="1">
        <v>26552136</v>
      </c>
      <c r="Y180" s="1" t="s">
        <v>1795</v>
      </c>
      <c r="Z180" s="1" t="s">
        <v>1406</v>
      </c>
      <c r="AA180" s="1" t="s">
        <v>614</v>
      </c>
      <c r="AB180" s="1" t="s">
        <v>140</v>
      </c>
      <c r="AC180" s="1" t="s">
        <v>546</v>
      </c>
      <c r="AD180" s="1">
        <v>2006</v>
      </c>
      <c r="AE180" s="82">
        <v>38875</v>
      </c>
      <c r="AF180" s="1" t="s">
        <v>558</v>
      </c>
      <c r="AG180" s="1" t="str">
        <f ca="1">IFERROR(__xludf.DUMMYFUNCTION("QUERY(FILTER(Importrange(""1W5sXuVCo-muXq9naQExIQV7xdM6BHYSf-xzYZZUGm78"",""'T.ESCOLAR'!P:P""),Importrange(""1W5sXuVCo-muXq9naQExIQV7xdM6BHYSf-xzYZZUGm78"",""'T.ESCOLAR'!B:B"") =Escolares!A180), ""Select * Limit 10"" , 1)"),"#N/A")</f>
        <v>#N/A</v>
      </c>
      <c r="AH180" s="83">
        <f ca="1">DATEDIF(AE180,TODAY(),  "D")</f>
        <v>7282</v>
      </c>
    </row>
    <row r="181" spans="1:34" ht="13.8">
      <c r="A181" s="1" t="s">
        <v>1205</v>
      </c>
      <c r="B181" s="1"/>
      <c r="AE181" s="82"/>
      <c r="AG181" s="1" t="str">
        <f ca="1">IFERROR(__xludf.DUMMYFUNCTION("QUERY(FILTER(Importrange(""1W5sXuVCo-muXq9naQExIQV7xdM6BHYSf-xzYZZUGm78"",""'T.ESCOLAR'!P:P""),Importrange(""1W5sXuVCo-muXq9naQExIQV7xdM6BHYSf-xzYZZUGm78"",""'T.ESCOLAR'!B:B"") =Escolares!A181), ""Select * Limit 10"" , 1)"),"#N/A")</f>
        <v>#N/A</v>
      </c>
      <c r="AH181" s="83"/>
    </row>
    <row r="182" spans="1:34" ht="13.8">
      <c r="A182" s="1" t="s">
        <v>1206</v>
      </c>
      <c r="B182" s="1"/>
      <c r="AE182" s="82"/>
      <c r="AG182" s="1" t="str">
        <f ca="1">IFERROR(__xludf.DUMMYFUNCTION("QUERY(FILTER(Importrange(""1W5sXuVCo-muXq9naQExIQV7xdM6BHYSf-xzYZZUGm78"",""'T.ESCOLAR'!P:P""),Importrange(""1W5sXuVCo-muXq9naQExIQV7xdM6BHYSf-xzYZZUGm78"",""'T.ESCOLAR'!B:B"") =Escolares!A182), ""Select * Limit 10"" , 1)"),"#N/A")</f>
        <v>#N/A</v>
      </c>
      <c r="AH182" s="83"/>
    </row>
    <row r="183" spans="1:34" ht="13.8">
      <c r="A183" s="1" t="s">
        <v>1207</v>
      </c>
      <c r="B183" s="1"/>
      <c r="AE183" s="82"/>
      <c r="AG183" s="1" t="str">
        <f ca="1">IFERROR(__xludf.DUMMYFUNCTION("QUERY(FILTER(Importrange(""1W5sXuVCo-muXq9naQExIQV7xdM6BHYSf-xzYZZUGm78"",""'T.ESCOLAR'!P:P""),Importrange(""1W5sXuVCo-muXq9naQExIQV7xdM6BHYSf-xzYZZUGm78"",""'T.ESCOLAR'!B:B"") =Escolares!A183), ""Select * Limit 10"" , 1)"),"#N/A")</f>
        <v>#N/A</v>
      </c>
      <c r="AH183" s="83"/>
    </row>
    <row r="184" spans="1:34" ht="13.8">
      <c r="A184" s="1" t="s">
        <v>1208</v>
      </c>
      <c r="B184" s="1"/>
      <c r="AE184" s="82"/>
      <c r="AG184" s="1" t="str">
        <f ca="1">IFERROR(__xludf.DUMMYFUNCTION("QUERY(FILTER(Importrange(""1W5sXuVCo-muXq9naQExIQV7xdM6BHYSf-xzYZZUGm78"",""'T.ESCOLAR'!P:P""),Importrange(""1W5sXuVCo-muXq9naQExIQV7xdM6BHYSf-xzYZZUGm78"",""'T.ESCOLAR'!B:B"") =Escolares!A184), ""Select * Limit 10"" , 1)"),"#N/A")</f>
        <v>#N/A</v>
      </c>
      <c r="AH184" s="83"/>
    </row>
    <row r="185" spans="1:34" ht="13.8">
      <c r="A185" s="1" t="s">
        <v>1209</v>
      </c>
      <c r="B185" s="1" t="s">
        <v>1379</v>
      </c>
      <c r="C185" s="4" t="s">
        <v>694</v>
      </c>
      <c r="G185" s="4" t="s">
        <v>1796</v>
      </c>
      <c r="H185" s="1" t="s">
        <v>1518</v>
      </c>
      <c r="I185" s="4">
        <v>11522946</v>
      </c>
      <c r="J185" s="4" t="s">
        <v>1797</v>
      </c>
      <c r="K185" s="1" t="s">
        <v>1406</v>
      </c>
      <c r="L185" s="1">
        <v>1160580468</v>
      </c>
      <c r="M185" s="1">
        <v>42625912</v>
      </c>
      <c r="N185" s="1" t="s">
        <v>1516</v>
      </c>
      <c r="O185" s="4" t="s">
        <v>1513</v>
      </c>
      <c r="P185" s="1" t="s">
        <v>1514</v>
      </c>
      <c r="Q185" s="4">
        <v>26667328</v>
      </c>
      <c r="R185" s="4">
        <v>26667328</v>
      </c>
      <c r="T185" s="4" t="s">
        <v>1515</v>
      </c>
      <c r="U185" s="1" t="s">
        <v>1406</v>
      </c>
      <c r="V185" s="4" t="s">
        <v>1796</v>
      </c>
      <c r="W185" s="1" t="s">
        <v>1518</v>
      </c>
      <c r="X185" s="4">
        <v>11522946</v>
      </c>
      <c r="Y185" s="4" t="s">
        <v>1797</v>
      </c>
      <c r="Z185" s="1" t="s">
        <v>1406</v>
      </c>
      <c r="AA185" s="1" t="s">
        <v>693</v>
      </c>
      <c r="AB185" s="1" t="s">
        <v>140</v>
      </c>
      <c r="AC185" s="4" t="s">
        <v>675</v>
      </c>
      <c r="AD185" s="1">
        <v>2006</v>
      </c>
      <c r="AE185" s="87">
        <v>38783</v>
      </c>
      <c r="AF185" s="1" t="s">
        <v>500</v>
      </c>
      <c r="AG185" s="1" t="str">
        <f ca="1">IFERROR(__xludf.DUMMYFUNCTION("QUERY(FILTER(Importrange(""1W5sXuVCo-muXq9naQExIQV7xdM6BHYSf-xzYZZUGm78"",""'T.ESCOLAR'!P:P""),Importrange(""1W5sXuVCo-muXq9naQExIQV7xdM6BHYSf-xzYZZUGm78"",""'T.ESCOLAR'!B:B"") =Escolares!A185), ""Select * Limit 10"" , 1)"),"#N/A")</f>
        <v>#N/A</v>
      </c>
      <c r="AH185" s="83">
        <f ca="1">DATEDIF(AE185,TODAY(),  "D")</f>
        <v>7374</v>
      </c>
    </row>
    <row r="186" spans="1:34" ht="13.8">
      <c r="A186" s="1" t="s">
        <v>1210</v>
      </c>
      <c r="B186" s="1"/>
      <c r="AE186" s="82"/>
      <c r="AG186" s="1" t="str">
        <f ca="1">IFERROR(__xludf.DUMMYFUNCTION("QUERY(FILTER(Importrange(""1W5sXuVCo-muXq9naQExIQV7xdM6BHYSf-xzYZZUGm78"",""'T.ESCOLAR'!P:P""),Importrange(""1W5sXuVCo-muXq9naQExIQV7xdM6BHYSf-xzYZZUGm78"",""'T.ESCOLAR'!B:B"") =Escolares!A186), ""Select * Limit 10"" , 1)"),"#N/A")</f>
        <v>#N/A</v>
      </c>
      <c r="AH186" s="83"/>
    </row>
    <row r="187" spans="1:34" ht="13.8">
      <c r="A187" s="1" t="s">
        <v>1211</v>
      </c>
      <c r="B187" s="1" t="s">
        <v>1379</v>
      </c>
      <c r="C187" s="1" t="s">
        <v>1798</v>
      </c>
      <c r="G187" s="1" t="s">
        <v>1799</v>
      </c>
      <c r="H187" s="1" t="s">
        <v>1800</v>
      </c>
      <c r="I187" s="1">
        <v>16831881</v>
      </c>
      <c r="J187" s="1" t="s">
        <v>1763</v>
      </c>
      <c r="K187" s="1" t="s">
        <v>1394</v>
      </c>
      <c r="L187" s="1">
        <v>1122567048</v>
      </c>
      <c r="N187" s="1" t="s">
        <v>1801</v>
      </c>
      <c r="O187" s="1" t="s">
        <v>1799</v>
      </c>
      <c r="P187" s="1" t="s">
        <v>1800</v>
      </c>
      <c r="Q187" s="1">
        <v>16831881</v>
      </c>
      <c r="R187" s="1">
        <v>16831881</v>
      </c>
      <c r="T187" s="1" t="s">
        <v>1763</v>
      </c>
      <c r="U187" s="1" t="s">
        <v>1394</v>
      </c>
      <c r="V187" s="1" t="s">
        <v>1692</v>
      </c>
      <c r="W187" s="1" t="s">
        <v>1802</v>
      </c>
      <c r="X187" s="1">
        <v>25978455</v>
      </c>
      <c r="Y187" s="1" t="s">
        <v>1803</v>
      </c>
      <c r="Z187" s="1" t="s">
        <v>1804</v>
      </c>
      <c r="AA187" s="1" t="s">
        <v>617</v>
      </c>
      <c r="AB187" s="1" t="s">
        <v>140</v>
      </c>
      <c r="AC187" s="1" t="s">
        <v>618</v>
      </c>
      <c r="AD187" s="1">
        <v>2004</v>
      </c>
      <c r="AE187" s="82">
        <v>38167</v>
      </c>
      <c r="AF187" s="1" t="s">
        <v>492</v>
      </c>
      <c r="AG187" s="1" t="str">
        <f ca="1">IFERROR(__xludf.DUMMYFUNCTION("QUERY(FILTER(Importrange(""1W5sXuVCo-muXq9naQExIQV7xdM6BHYSf-xzYZZUGm78"",""'T.ESCOLAR'!P:P""),Importrange(""1W5sXuVCo-muXq9naQExIQV7xdM6BHYSf-xzYZZUGm78"",""'T.ESCOLAR'!B:B"") =Escolares!A187), ""Select * Limit 10"" , 1)"),"#N/A")</f>
        <v>#N/A</v>
      </c>
      <c r="AH187" s="83">
        <f ca="1">DATEDIF(AE187,TODAY(),  "D")</f>
        <v>7990</v>
      </c>
    </row>
    <row r="188" spans="1:34" ht="13.8">
      <c r="A188" s="1" t="s">
        <v>1212</v>
      </c>
      <c r="B188" s="1"/>
      <c r="AE188" s="82"/>
      <c r="AG188" s="1" t="str">
        <f ca="1">IFERROR(__xludf.DUMMYFUNCTION("QUERY(FILTER(Importrange(""1W5sXuVCo-muXq9naQExIQV7xdM6BHYSf-xzYZZUGm78"",""'T.ESCOLAR'!P:P""),Importrange(""1W5sXuVCo-muXq9naQExIQV7xdM6BHYSf-xzYZZUGm78"",""'T.ESCOLAR'!B:B"") =Escolares!A188), ""Select * Limit 10"" , 1)"),"#N/A")</f>
        <v>#N/A</v>
      </c>
      <c r="AH188" s="83"/>
    </row>
    <row r="189" spans="1:34" ht="13.8">
      <c r="A189" s="1" t="s">
        <v>1213</v>
      </c>
      <c r="B189" s="1"/>
      <c r="AE189" s="82"/>
      <c r="AG189" s="1" t="str">
        <f ca="1">IFERROR(__xludf.DUMMYFUNCTION("QUERY(FILTER(Importrange(""1W5sXuVCo-muXq9naQExIQV7xdM6BHYSf-xzYZZUGm78"",""'T.ESCOLAR'!P:P""),Importrange(""1W5sXuVCo-muXq9naQExIQV7xdM6BHYSf-xzYZZUGm78"",""'T.ESCOLAR'!B:B"") =Escolares!A189), ""Select * Limit 10"" , 1)"),"#N/A")</f>
        <v>#N/A</v>
      </c>
      <c r="AH189" s="83"/>
    </row>
    <row r="190" spans="1:34" ht="13.8">
      <c r="A190" s="1" t="s">
        <v>1214</v>
      </c>
      <c r="B190" s="1"/>
      <c r="AE190" s="82"/>
      <c r="AG190" s="1" t="str">
        <f ca="1">IFERROR(__xludf.DUMMYFUNCTION("QUERY(FILTER(Importrange(""1W5sXuVCo-muXq9naQExIQV7xdM6BHYSf-xzYZZUGm78"",""'T.ESCOLAR'!P:P""),Importrange(""1W5sXuVCo-muXq9naQExIQV7xdM6BHYSf-xzYZZUGm78"",""'T.ESCOLAR'!B:B"") =Escolares!A190), ""Select * Limit 10"" , 1)"),"#N/A")</f>
        <v>#N/A</v>
      </c>
      <c r="AH190" s="83"/>
    </row>
    <row r="191" spans="1:34" ht="13.8">
      <c r="A191" s="1" t="s">
        <v>1215</v>
      </c>
      <c r="B191" s="1"/>
      <c r="AE191" s="82"/>
      <c r="AG191" s="1" t="str">
        <f ca="1">IFERROR(__xludf.DUMMYFUNCTION("QUERY(FILTER(Importrange(""1W5sXuVCo-muXq9naQExIQV7xdM6BHYSf-xzYZZUGm78"",""'T.ESCOLAR'!P:P""),Importrange(""1W5sXuVCo-muXq9naQExIQV7xdM6BHYSf-xzYZZUGm78"",""'T.ESCOLAR'!B:B"") =Escolares!A191), ""Select * Limit 10"" , 1)"),"#N/A")</f>
        <v>#N/A</v>
      </c>
      <c r="AH191" s="83"/>
    </row>
    <row r="192" spans="1:34" ht="13.8">
      <c r="A192" s="1" t="s">
        <v>1216</v>
      </c>
      <c r="B192" s="1"/>
      <c r="AE192" s="82"/>
      <c r="AG192" s="1" t="str">
        <f ca="1">IFERROR(__xludf.DUMMYFUNCTION("QUERY(FILTER(Importrange(""1W5sXuVCo-muXq9naQExIQV7xdM6BHYSf-xzYZZUGm78"",""'T.ESCOLAR'!P:P""),Importrange(""1W5sXuVCo-muXq9naQExIQV7xdM6BHYSf-xzYZZUGm78"",""'T.ESCOLAR'!B:B"") =Escolares!A192), ""Select * Limit 10"" , 1)"),"#N/A")</f>
        <v>#N/A</v>
      </c>
      <c r="AH192" s="83"/>
    </row>
    <row r="193" spans="1:34" ht="13.8">
      <c r="A193" s="1" t="s">
        <v>1217</v>
      </c>
      <c r="B193" s="1" t="s">
        <v>1379</v>
      </c>
      <c r="C193" s="1" t="s">
        <v>1805</v>
      </c>
      <c r="G193" s="1" t="s">
        <v>1806</v>
      </c>
      <c r="H193" s="1" t="s">
        <v>1807</v>
      </c>
      <c r="I193" s="1">
        <v>17852652</v>
      </c>
      <c r="J193" s="1" t="s">
        <v>1808</v>
      </c>
      <c r="K193" s="1" t="s">
        <v>1406</v>
      </c>
      <c r="L193" s="1">
        <v>1123602787</v>
      </c>
      <c r="N193" s="1" t="s">
        <v>1809</v>
      </c>
      <c r="O193" s="1" t="s">
        <v>1806</v>
      </c>
      <c r="P193" s="1" t="s">
        <v>1807</v>
      </c>
      <c r="Q193" s="1">
        <v>17852652</v>
      </c>
      <c r="R193" s="1">
        <v>17852652</v>
      </c>
      <c r="S193" s="84"/>
      <c r="T193" s="1" t="s">
        <v>1808</v>
      </c>
      <c r="U193" s="1" t="s">
        <v>1406</v>
      </c>
      <c r="V193" s="1" t="s">
        <v>1810</v>
      </c>
      <c r="W193" s="1" t="s">
        <v>1811</v>
      </c>
      <c r="X193" s="1">
        <v>38487184</v>
      </c>
      <c r="Y193" s="1" t="s">
        <v>1808</v>
      </c>
      <c r="Z193" s="1" t="s">
        <v>1406</v>
      </c>
      <c r="AA193" s="1" t="s">
        <v>620</v>
      </c>
      <c r="AB193" s="1" t="s">
        <v>504</v>
      </c>
      <c r="AC193" s="1" t="s">
        <v>505</v>
      </c>
      <c r="AD193" s="1">
        <v>2011</v>
      </c>
      <c r="AE193" s="82">
        <v>40844</v>
      </c>
      <c r="AF193" s="1" t="s">
        <v>487</v>
      </c>
      <c r="AG193" s="1" t="str">
        <f ca="1">IFERROR(__xludf.DUMMYFUNCTION("QUERY(FILTER(Importrange(""1W5sXuVCo-muXq9naQExIQV7xdM6BHYSf-xzYZZUGm78"",""'T.ESCOLAR'!P:P""),Importrange(""1W5sXuVCo-muXq9naQExIQV7xdM6BHYSf-xzYZZUGm78"",""'T.ESCOLAR'!B:B"") =Escolares!A193), ""Select * Limit 10"" , 1)"),"#N/A")</f>
        <v>#N/A</v>
      </c>
      <c r="AH193" s="83">
        <f ca="1">DATEDIF(AE193,TODAY(),  "D")</f>
        <v>5313</v>
      </c>
    </row>
    <row r="194" spans="1:34" ht="13.8">
      <c r="A194" s="1" t="s">
        <v>1218</v>
      </c>
      <c r="B194" s="1"/>
      <c r="AE194" s="82"/>
      <c r="AG194" s="1" t="str">
        <f ca="1">IFERROR(__xludf.DUMMYFUNCTION("QUERY(FILTER(Importrange(""1W5sXuVCo-muXq9naQExIQV7xdM6BHYSf-xzYZZUGm78"",""'T.ESCOLAR'!P:P""),Importrange(""1W5sXuVCo-muXq9naQExIQV7xdM6BHYSf-xzYZZUGm78"",""'T.ESCOLAR'!B:B"") =Escolares!A194), ""Select * Limit 10"" , 1)"),"#N/A")</f>
        <v>#N/A</v>
      </c>
      <c r="AH194" s="83"/>
    </row>
    <row r="195" spans="1:34" ht="13.8">
      <c r="A195" s="1" t="s">
        <v>1219</v>
      </c>
      <c r="B195" s="1"/>
      <c r="AE195" s="82"/>
      <c r="AG195" s="1" t="str">
        <f ca="1">IFERROR(__xludf.DUMMYFUNCTION("QUERY(FILTER(Importrange(""1W5sXuVCo-muXq9naQExIQV7xdM6BHYSf-xzYZZUGm78"",""'T.ESCOLAR'!P:P""),Importrange(""1W5sXuVCo-muXq9naQExIQV7xdM6BHYSf-xzYZZUGm78"",""'T.ESCOLAR'!B:B"") =Escolares!A195), ""Select * Limit 10"" , 1)"),"#N/A")</f>
        <v>#N/A</v>
      </c>
      <c r="AH195" s="83"/>
    </row>
    <row r="196" spans="1:34" ht="13.8">
      <c r="A196" s="1" t="s">
        <v>1220</v>
      </c>
      <c r="B196" s="1" t="s">
        <v>1379</v>
      </c>
      <c r="C196" s="1" t="s">
        <v>723</v>
      </c>
      <c r="G196" s="1" t="s">
        <v>1812</v>
      </c>
      <c r="H196" s="1" t="s">
        <v>1813</v>
      </c>
      <c r="I196" s="1">
        <v>22041304</v>
      </c>
      <c r="J196" s="1" t="s">
        <v>621</v>
      </c>
      <c r="K196" s="1" t="s">
        <v>1814</v>
      </c>
      <c r="L196" s="1">
        <v>1157201710</v>
      </c>
      <c r="N196" s="1" t="s">
        <v>992</v>
      </c>
      <c r="O196" s="1" t="s">
        <v>1812</v>
      </c>
      <c r="P196" s="1" t="s">
        <v>1813</v>
      </c>
      <c r="Q196" s="1">
        <v>22041304</v>
      </c>
      <c r="R196" s="1">
        <v>22041304</v>
      </c>
      <c r="S196" s="84"/>
      <c r="T196" s="1" t="s">
        <v>621</v>
      </c>
      <c r="U196" s="1" t="s">
        <v>1814</v>
      </c>
      <c r="V196" s="1" t="s">
        <v>1815</v>
      </c>
      <c r="W196" s="1" t="s">
        <v>1816</v>
      </c>
      <c r="X196" s="1">
        <v>38487046</v>
      </c>
      <c r="Y196" s="1" t="s">
        <v>1817</v>
      </c>
      <c r="Z196" s="1" t="s">
        <v>1401</v>
      </c>
      <c r="AA196" s="1" t="s">
        <v>622</v>
      </c>
      <c r="AB196" s="1" t="s">
        <v>140</v>
      </c>
      <c r="AC196" s="1" t="s">
        <v>546</v>
      </c>
      <c r="AD196" s="1">
        <v>2006</v>
      </c>
      <c r="AE196" s="82">
        <v>38896</v>
      </c>
      <c r="AF196" s="1" t="s">
        <v>722</v>
      </c>
      <c r="AG196" s="1" t="str">
        <f ca="1">IFERROR(__xludf.DUMMYFUNCTION("QUERY(FILTER(Importrange(""1W5sXuVCo-muXq9naQExIQV7xdM6BHYSf-xzYZZUGm78"",""'T.ESCOLAR'!P:P""),Importrange(""1W5sXuVCo-muXq9naQExIQV7xdM6BHYSf-xzYZZUGm78"",""'T.ESCOLAR'!B:B"") =Escolares!A196), ""Select * Limit 10"" , 1)"),"#N/A")</f>
        <v>#N/A</v>
      </c>
      <c r="AH196" s="83">
        <f ca="1">DATEDIF(AE196,TODAY(),  "D")</f>
        <v>7261</v>
      </c>
    </row>
    <row r="197" spans="1:34" ht="13.8">
      <c r="A197" s="1" t="s">
        <v>1221</v>
      </c>
      <c r="B197" s="1"/>
      <c r="AE197" s="82"/>
      <c r="AG197" s="1" t="str">
        <f ca="1">IFERROR(__xludf.DUMMYFUNCTION("QUERY(FILTER(Importrange(""1W5sXuVCo-muXq9naQExIQV7xdM6BHYSf-xzYZZUGm78"",""'T.ESCOLAR'!P:P""),Importrange(""1W5sXuVCo-muXq9naQExIQV7xdM6BHYSf-xzYZZUGm78"",""'T.ESCOLAR'!B:B"") =Escolares!A197), ""Select * Limit 10"" , 1)"),"#N/A")</f>
        <v>#N/A</v>
      </c>
      <c r="AH197" s="83"/>
    </row>
    <row r="198" spans="1:34" ht="13.8">
      <c r="A198" s="1" t="s">
        <v>1222</v>
      </c>
      <c r="B198" s="1"/>
      <c r="AE198" s="82"/>
      <c r="AG198" s="1" t="str">
        <f ca="1">IFERROR(__xludf.DUMMYFUNCTION("QUERY(FILTER(Importrange(""1W5sXuVCo-muXq9naQExIQV7xdM6BHYSf-xzYZZUGm78"",""'T.ESCOLAR'!P:P""),Importrange(""1W5sXuVCo-muXq9naQExIQV7xdM6BHYSf-xzYZZUGm78"",""'T.ESCOLAR'!B:B"") =Escolares!A198), ""Select * Limit 10"" , 1)"),"#N/A")</f>
        <v>#N/A</v>
      </c>
      <c r="AH198" s="83"/>
    </row>
    <row r="199" spans="1:34" ht="13.8">
      <c r="A199" s="1" t="s">
        <v>1223</v>
      </c>
      <c r="B199" s="1"/>
      <c r="AE199" s="82"/>
      <c r="AG199" s="1" t="str">
        <f ca="1">IFERROR(__xludf.DUMMYFUNCTION("QUERY(FILTER(Importrange(""1W5sXuVCo-muXq9naQExIQV7xdM6BHYSf-xzYZZUGm78"",""'T.ESCOLAR'!P:P""),Importrange(""1W5sXuVCo-muXq9naQExIQV7xdM6BHYSf-xzYZZUGm78"",""'T.ESCOLAR'!B:B"") =Escolares!A199), ""Select * Limit 10"" , 1)"),"#N/A")</f>
        <v>#N/A</v>
      </c>
      <c r="AH199" s="83"/>
    </row>
    <row r="200" spans="1:34" ht="13.8">
      <c r="A200" s="1" t="s">
        <v>1224</v>
      </c>
      <c r="B200" s="1"/>
      <c r="AE200" s="82"/>
      <c r="AG200" s="1" t="str">
        <f ca="1">IFERROR(__xludf.DUMMYFUNCTION("QUERY(FILTER(Importrange(""1W5sXuVCo-muXq9naQExIQV7xdM6BHYSf-xzYZZUGm78"",""'T.ESCOLAR'!P:P""),Importrange(""1W5sXuVCo-muXq9naQExIQV7xdM6BHYSf-xzYZZUGm78"",""'T.ESCOLAR'!B:B"") =Escolares!A200), ""Select * Limit 10"" , 1)"),"#N/A")</f>
        <v>#N/A</v>
      </c>
      <c r="AH200" s="83"/>
    </row>
    <row r="201" spans="1:34" ht="13.8">
      <c r="A201" s="1" t="s">
        <v>1225</v>
      </c>
      <c r="B201" s="1"/>
      <c r="AE201" s="82"/>
      <c r="AG201" s="1" t="str">
        <f ca="1">IFERROR(__xludf.DUMMYFUNCTION("QUERY(FILTER(Importrange(""1W5sXuVCo-muXq9naQExIQV7xdM6BHYSf-xzYZZUGm78"",""'T.ESCOLAR'!P:P""),Importrange(""1W5sXuVCo-muXq9naQExIQV7xdM6BHYSf-xzYZZUGm78"",""'T.ESCOLAR'!B:B"") =Escolares!A201), ""Select * Limit 10"" , 1)"),"#N/A")</f>
        <v>#N/A</v>
      </c>
      <c r="AH201" s="83"/>
    </row>
    <row r="202" spans="1:34" ht="13.8">
      <c r="A202" s="1" t="s">
        <v>1226</v>
      </c>
      <c r="B202" s="1"/>
      <c r="AE202" s="82"/>
      <c r="AG202" s="1" t="str">
        <f ca="1">IFERROR(__xludf.DUMMYFUNCTION("QUERY(FILTER(Importrange(""1W5sXuVCo-muXq9naQExIQV7xdM6BHYSf-xzYZZUGm78"",""'T.ESCOLAR'!P:P""),Importrange(""1W5sXuVCo-muXq9naQExIQV7xdM6BHYSf-xzYZZUGm78"",""'T.ESCOLAR'!B:B"") =Escolares!A202), ""Select * Limit 10"" , 1)"),"#N/A")</f>
        <v>#N/A</v>
      </c>
      <c r="AH202" s="83"/>
    </row>
    <row r="203" spans="1:34" ht="13.8">
      <c r="A203" s="1" t="s">
        <v>1227</v>
      </c>
      <c r="B203" s="1"/>
      <c r="AE203" s="82"/>
      <c r="AG203" s="1" t="str">
        <f ca="1">IFERROR(__xludf.DUMMYFUNCTION("QUERY(FILTER(Importrange(""1W5sXuVCo-muXq9naQExIQV7xdM6BHYSf-xzYZZUGm78"",""'T.ESCOLAR'!P:P""),Importrange(""1W5sXuVCo-muXq9naQExIQV7xdM6BHYSf-xzYZZUGm78"",""'T.ESCOLAR'!B:B"") =Escolares!A203), ""Select * Limit 10"" , 1)"),"#N/A")</f>
        <v>#N/A</v>
      </c>
      <c r="AH203" s="83"/>
    </row>
  </sheetData>
  <autoFilter ref="A3:AK203" xr:uid="{00000000-0009-0000-0000-000008000000}"/>
  <mergeCells count="6">
    <mergeCell ref="A1:AG1"/>
    <mergeCell ref="A2:F2"/>
    <mergeCell ref="G2:N2"/>
    <mergeCell ref="O2:U2"/>
    <mergeCell ref="V2:Z2"/>
    <mergeCell ref="AA2:AF2"/>
  </mergeCells>
  <conditionalFormatting sqref="J12 T12 Y12 J20 AC20 C25 O25 Q25:R25 J27 A28 J30 T30 Y30 AB30:AC31 AE30:AE31 X31 J34 T34 AC34 Y38 AC38 AF38 J38:J39 Q43:R43 AB43:AC43 AE43 AC48 AE48 AC53 AE53:AF53 C58 G58 I58 L58 V58 X58:Y58 AA58 AF58 J58:J59 AE58:AE59 AC58:AC60 T59 C75:C77 AB77:AF77 C79 J85 Q85:R85 T85 Y85 AB85:AC85 AE85 AC90 AE90 AA95:AF95 Q98:R98 AC98:AC100 AE98:AE100 AF99 J99:J100 T100 AC105:AF105 AC110 O111 Q111:R111 C116 G116 I116 O116:R116 AB116:AC116 AE116:AF116 J128 T128 AC141 AE141:AF141 C142 AC155 AF155 C168 C185 G185 I185:J185 O185 Q185:R185 T185 V185 X185:Y185 AC185 AE185">
    <cfRule type="containsText" dxfId="5" priority="1" operator="containsText" text="APROBADO">
      <formula>NOT(ISERROR(SEARCH(("APROBADO"),(J12))))</formula>
    </cfRule>
    <cfRule type="containsText" dxfId="4" priority="2" operator="containsText" text="NOTIFICADO">
      <formula>NOT(ISERROR(SEARCH(("NOTIFICADO"),(J12))))</formula>
    </cfRule>
    <cfRule type="containsText" dxfId="3" priority="3" operator="containsText" text="RECHAZADO">
      <formula>NOT(ISERROR(SEARCH(("RECHAZADO"),(J12))))</formula>
    </cfRule>
  </conditionalFormatting>
  <dataValidations count="1">
    <dataValidation type="list" allowBlank="1" showErrorMessage="1" sqref="B3:B203" xr:uid="{00000000-0002-0000-0800-000000000000}">
      <formula1>"Nueva Habilitación,Renovación,Cambio de Material,Cambio de titular,Cambio de Material y Renovación,Cambio de Titular y Renovación"</formula1>
    </dataValidation>
  </dataValidations>
  <hyperlinks>
    <hyperlink ref="N47" r:id="rId1" xr:uid="{00000000-0004-0000-0800-000000000000}"/>
    <hyperlink ref="K99" r:id="rId2" xr:uid="{00000000-0004-0000-08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T997"/>
  <sheetViews>
    <sheetView workbookViewId="0"/>
  </sheetViews>
  <sheetFormatPr defaultColWidth="14.44140625" defaultRowHeight="15.75" customHeight="1"/>
  <cols>
    <col min="1" max="1" width="14.33203125" customWidth="1"/>
    <col min="2" max="2" width="18.6640625" customWidth="1"/>
    <col min="3" max="3" width="18.33203125" customWidth="1"/>
    <col min="4" max="4" width="18" customWidth="1"/>
    <col min="5" max="5" width="10.5546875" customWidth="1"/>
    <col min="6" max="6" width="24.33203125" customWidth="1"/>
    <col min="8" max="8" width="29.109375" customWidth="1"/>
    <col min="9" max="9" width="12.44140625" customWidth="1"/>
    <col min="10" max="10" width="21.5546875" customWidth="1"/>
    <col min="11" max="11" width="28.33203125" customWidth="1"/>
    <col min="12" max="12" width="12" customWidth="1"/>
    <col min="13" max="13" width="10.88671875" customWidth="1"/>
    <col min="14" max="14" width="15.33203125" customWidth="1"/>
    <col min="16" max="16" width="7.88671875" customWidth="1"/>
    <col min="17" max="17" width="11.6640625" customWidth="1"/>
    <col min="18" max="18" width="16.6640625" customWidth="1"/>
    <col min="19" max="19" width="37.6640625" customWidth="1"/>
    <col min="20" max="20" width="15.44140625" customWidth="1"/>
  </cols>
  <sheetData>
    <row r="1" spans="1:20">
      <c r="A1" s="93" t="s">
        <v>1818</v>
      </c>
      <c r="B1" s="93" t="s">
        <v>1819</v>
      </c>
      <c r="C1" s="93" t="s">
        <v>8</v>
      </c>
      <c r="D1" s="93" t="s">
        <v>1820</v>
      </c>
      <c r="E1" s="93" t="s">
        <v>1821</v>
      </c>
      <c r="F1" s="93" t="s">
        <v>1822</v>
      </c>
      <c r="G1" s="93" t="s">
        <v>1823</v>
      </c>
      <c r="H1" s="93" t="s">
        <v>1824</v>
      </c>
      <c r="I1" s="93" t="s">
        <v>1825</v>
      </c>
      <c r="J1" s="93" t="s">
        <v>1826</v>
      </c>
      <c r="K1" s="93" t="s">
        <v>1827</v>
      </c>
      <c r="L1" s="93" t="s">
        <v>1828</v>
      </c>
      <c r="M1" s="93" t="s">
        <v>1829</v>
      </c>
      <c r="N1" s="93" t="s">
        <v>1830</v>
      </c>
      <c r="O1" s="93" t="s">
        <v>1831</v>
      </c>
      <c r="P1" s="93" t="s">
        <v>1832</v>
      </c>
      <c r="Q1" s="93" t="s">
        <v>1833</v>
      </c>
      <c r="R1" s="93" t="s">
        <v>1280</v>
      </c>
      <c r="S1" s="93" t="s">
        <v>1834</v>
      </c>
      <c r="T1" s="93" t="s">
        <v>1835</v>
      </c>
    </row>
    <row r="2" spans="1:20">
      <c r="A2" s="94">
        <v>300</v>
      </c>
      <c r="B2" s="94" t="s">
        <v>1836</v>
      </c>
      <c r="C2" s="94"/>
      <c r="D2" s="95"/>
      <c r="E2" s="94"/>
      <c r="F2" s="94" t="s">
        <v>9</v>
      </c>
      <c r="G2" s="93" t="s">
        <v>199</v>
      </c>
      <c r="H2" s="94" t="s">
        <v>9</v>
      </c>
      <c r="I2" s="94">
        <v>10083755</v>
      </c>
      <c r="J2" s="94" t="s">
        <v>10</v>
      </c>
      <c r="K2" s="94" t="s">
        <v>9</v>
      </c>
      <c r="L2" s="94">
        <v>10083755</v>
      </c>
      <c r="M2" s="94" t="s">
        <v>11</v>
      </c>
      <c r="N2" s="94" t="s">
        <v>12</v>
      </c>
      <c r="O2" s="94" t="s">
        <v>13</v>
      </c>
      <c r="P2" s="93">
        <v>2016</v>
      </c>
      <c r="Q2" s="96">
        <v>42520</v>
      </c>
      <c r="R2" s="94" t="s">
        <v>14</v>
      </c>
      <c r="S2" s="93" t="s">
        <v>1837</v>
      </c>
      <c r="T2" s="93">
        <v>1154013889</v>
      </c>
    </row>
    <row r="3" spans="1:20">
      <c r="A3" s="94">
        <v>303</v>
      </c>
      <c r="B3" s="94" t="s">
        <v>1838</v>
      </c>
      <c r="C3" s="94"/>
      <c r="D3" s="94"/>
      <c r="E3" s="94"/>
      <c r="F3" s="94" t="s">
        <v>1839</v>
      </c>
      <c r="G3" s="93" t="s">
        <v>1840</v>
      </c>
      <c r="H3" s="94" t="s">
        <v>28</v>
      </c>
      <c r="I3" s="94">
        <v>16213838</v>
      </c>
      <c r="J3" s="94" t="s">
        <v>29</v>
      </c>
      <c r="K3" s="94" t="s">
        <v>28</v>
      </c>
      <c r="L3" s="94">
        <v>16213838</v>
      </c>
      <c r="M3" s="94" t="s">
        <v>30</v>
      </c>
      <c r="N3" s="94" t="s">
        <v>31</v>
      </c>
      <c r="O3" s="94" t="s">
        <v>32</v>
      </c>
      <c r="P3" s="93">
        <v>2017</v>
      </c>
      <c r="Q3" s="97">
        <v>43054</v>
      </c>
      <c r="R3" s="94" t="s">
        <v>22</v>
      </c>
      <c r="S3" s="94"/>
      <c r="T3" s="93"/>
    </row>
    <row r="4" spans="1:20">
      <c r="A4" s="94">
        <v>305</v>
      </c>
      <c r="B4" s="94" t="s">
        <v>1841</v>
      </c>
      <c r="C4" s="94"/>
      <c r="D4" s="94"/>
      <c r="E4" s="94"/>
      <c r="F4" s="94" t="s">
        <v>39</v>
      </c>
      <c r="G4" s="93" t="s">
        <v>199</v>
      </c>
      <c r="H4" s="94" t="s">
        <v>39</v>
      </c>
      <c r="I4" s="94">
        <v>29039460</v>
      </c>
      <c r="J4" s="94" t="s">
        <v>40</v>
      </c>
      <c r="K4" s="94" t="s">
        <v>41</v>
      </c>
      <c r="L4" s="94">
        <v>92157368</v>
      </c>
      <c r="M4" s="94" t="s">
        <v>42</v>
      </c>
      <c r="N4" s="94" t="s">
        <v>12</v>
      </c>
      <c r="O4" s="94" t="s">
        <v>43</v>
      </c>
      <c r="P4" s="93">
        <v>2017</v>
      </c>
      <c r="Q4" s="96">
        <v>42885</v>
      </c>
      <c r="R4" s="94" t="s">
        <v>22</v>
      </c>
      <c r="S4" s="94" t="s">
        <v>1842</v>
      </c>
      <c r="T4" s="93">
        <v>1138456872</v>
      </c>
    </row>
    <row r="5" spans="1:20">
      <c r="A5" s="94">
        <v>306</v>
      </c>
      <c r="B5" s="94" t="s">
        <v>1843</v>
      </c>
      <c r="C5" s="7"/>
      <c r="D5" s="7"/>
      <c r="E5" s="7"/>
      <c r="F5" s="94" t="s">
        <v>409</v>
      </c>
      <c r="G5" s="8" t="s">
        <v>479</v>
      </c>
      <c r="H5" s="94" t="s">
        <v>409</v>
      </c>
      <c r="I5" s="94">
        <v>17572707</v>
      </c>
      <c r="J5" s="94" t="s">
        <v>1844</v>
      </c>
      <c r="K5" s="94" t="s">
        <v>409</v>
      </c>
      <c r="L5" s="94">
        <v>17572707</v>
      </c>
      <c r="M5" s="7" t="s">
        <v>414</v>
      </c>
      <c r="N5" s="7" t="s">
        <v>108</v>
      </c>
      <c r="O5" s="94" t="s">
        <v>415</v>
      </c>
      <c r="P5" s="93">
        <v>2015</v>
      </c>
      <c r="Q5" s="96">
        <v>42276</v>
      </c>
      <c r="R5" s="7" t="s">
        <v>416</v>
      </c>
      <c r="S5" s="94" t="s">
        <v>1845</v>
      </c>
      <c r="T5" s="93">
        <v>1134684926</v>
      </c>
    </row>
    <row r="6" spans="1:20">
      <c r="A6" s="94">
        <v>308</v>
      </c>
      <c r="B6" s="94" t="s">
        <v>1846</v>
      </c>
      <c r="C6" s="94"/>
      <c r="D6" s="94"/>
      <c r="E6" s="94"/>
      <c r="F6" s="94" t="s">
        <v>49</v>
      </c>
      <c r="G6" s="93" t="s">
        <v>199</v>
      </c>
      <c r="H6" s="94" t="s">
        <v>49</v>
      </c>
      <c r="I6" s="94">
        <v>21433225</v>
      </c>
      <c r="J6" s="94" t="s">
        <v>50</v>
      </c>
      <c r="K6" s="94" t="s">
        <v>49</v>
      </c>
      <c r="L6" s="94">
        <v>21433225</v>
      </c>
      <c r="M6" s="94" t="s">
        <v>51</v>
      </c>
      <c r="N6" s="94" t="s">
        <v>12</v>
      </c>
      <c r="O6" s="94" t="s">
        <v>52</v>
      </c>
      <c r="P6" s="93">
        <v>2016</v>
      </c>
      <c r="Q6" s="96">
        <v>42521</v>
      </c>
      <c r="R6" s="94" t="s">
        <v>22</v>
      </c>
      <c r="S6" s="94" t="s">
        <v>1847</v>
      </c>
      <c r="T6" s="93">
        <v>1137768483</v>
      </c>
    </row>
    <row r="7" spans="1:20">
      <c r="A7" s="94">
        <v>313</v>
      </c>
      <c r="B7" s="94" t="s">
        <v>1848</v>
      </c>
      <c r="C7" s="94"/>
      <c r="D7" s="94"/>
      <c r="E7" s="94"/>
      <c r="F7" s="94" t="s">
        <v>409</v>
      </c>
      <c r="G7" s="93" t="s">
        <v>479</v>
      </c>
      <c r="H7" s="94" t="s">
        <v>409</v>
      </c>
      <c r="I7" s="94">
        <v>17572707</v>
      </c>
      <c r="J7" s="94" t="s">
        <v>1844</v>
      </c>
      <c r="K7" s="94" t="s">
        <v>409</v>
      </c>
      <c r="L7" s="94">
        <v>17572707</v>
      </c>
      <c r="M7" s="94" t="s">
        <v>411</v>
      </c>
      <c r="N7" s="94" t="s">
        <v>20</v>
      </c>
      <c r="O7" s="94" t="s">
        <v>412</v>
      </c>
      <c r="P7" s="93">
        <v>2011</v>
      </c>
      <c r="Q7" s="96">
        <v>40812</v>
      </c>
      <c r="R7" s="94" t="s">
        <v>151</v>
      </c>
      <c r="S7" s="94" t="s">
        <v>1849</v>
      </c>
      <c r="T7" s="93">
        <v>1134684926</v>
      </c>
    </row>
    <row r="8" spans="1:20">
      <c r="A8" s="94">
        <v>314</v>
      </c>
      <c r="B8" s="94" t="s">
        <v>1850</v>
      </c>
      <c r="C8" s="94"/>
      <c r="D8" s="94"/>
      <c r="E8" s="94"/>
      <c r="F8" s="94" t="s">
        <v>409</v>
      </c>
      <c r="G8" s="93" t="s">
        <v>479</v>
      </c>
      <c r="H8" s="94" t="s">
        <v>409</v>
      </c>
      <c r="I8" s="94">
        <v>17572707</v>
      </c>
      <c r="J8" s="94" t="s">
        <v>1844</v>
      </c>
      <c r="K8" s="94" t="s">
        <v>409</v>
      </c>
      <c r="L8" s="94">
        <v>17572707</v>
      </c>
      <c r="M8" s="94" t="s">
        <v>413</v>
      </c>
      <c r="N8" s="94" t="s">
        <v>20</v>
      </c>
      <c r="O8" s="7" t="s">
        <v>258</v>
      </c>
      <c r="P8" s="8">
        <v>2017</v>
      </c>
      <c r="Q8" s="10">
        <v>42783</v>
      </c>
      <c r="R8" s="94" t="s">
        <v>57</v>
      </c>
      <c r="S8" s="94" t="s">
        <v>1849</v>
      </c>
      <c r="T8" s="93">
        <v>1134684926</v>
      </c>
    </row>
    <row r="9" spans="1:20">
      <c r="A9" s="94">
        <v>316</v>
      </c>
      <c r="B9" s="94" t="s">
        <v>1851</v>
      </c>
      <c r="C9" s="94"/>
      <c r="D9" s="94"/>
      <c r="E9" s="94"/>
      <c r="F9" s="94" t="s">
        <v>73</v>
      </c>
      <c r="G9" s="93" t="s">
        <v>462</v>
      </c>
      <c r="H9" s="94" t="s">
        <v>73</v>
      </c>
      <c r="I9" s="98">
        <v>16168159</v>
      </c>
      <c r="J9" s="94" t="s">
        <v>74</v>
      </c>
      <c r="K9" s="99" t="s">
        <v>73</v>
      </c>
      <c r="L9" s="98">
        <v>16168159</v>
      </c>
      <c r="M9" s="99" t="s">
        <v>75</v>
      </c>
      <c r="N9" s="99" t="s">
        <v>12</v>
      </c>
      <c r="O9" s="94" t="s">
        <v>76</v>
      </c>
      <c r="P9" s="100">
        <v>2011</v>
      </c>
      <c r="Q9" s="97">
        <v>40701</v>
      </c>
      <c r="R9" s="98" t="s">
        <v>77</v>
      </c>
      <c r="S9" s="94"/>
      <c r="T9" s="93"/>
    </row>
    <row r="10" spans="1:20">
      <c r="A10" s="101">
        <v>316</v>
      </c>
      <c r="B10" s="102" t="s">
        <v>1851</v>
      </c>
      <c r="C10" s="7"/>
      <c r="D10" s="7"/>
      <c r="E10" s="7"/>
      <c r="F10" s="94" t="s">
        <v>73</v>
      </c>
      <c r="G10" s="8" t="s">
        <v>462</v>
      </c>
      <c r="H10" s="94" t="s">
        <v>73</v>
      </c>
      <c r="I10" s="94">
        <v>16168159</v>
      </c>
      <c r="J10" s="94" t="s">
        <v>459</v>
      </c>
      <c r="K10" s="94" t="s">
        <v>73</v>
      </c>
      <c r="L10" s="94">
        <v>16168159</v>
      </c>
      <c r="M10" s="7" t="s">
        <v>75</v>
      </c>
      <c r="N10" s="7" t="s">
        <v>12</v>
      </c>
      <c r="O10" s="94" t="s">
        <v>460</v>
      </c>
      <c r="P10" s="8">
        <v>2011</v>
      </c>
      <c r="Q10" s="10">
        <v>40701</v>
      </c>
      <c r="R10" s="7" t="s">
        <v>461</v>
      </c>
      <c r="S10" s="7" t="s">
        <v>1852</v>
      </c>
      <c r="T10" s="93">
        <v>1126761798</v>
      </c>
    </row>
    <row r="11" spans="1:20">
      <c r="A11" s="94">
        <v>321</v>
      </c>
      <c r="B11" s="94" t="s">
        <v>1853</v>
      </c>
      <c r="C11" s="94"/>
      <c r="D11" s="94"/>
      <c r="E11" s="94"/>
      <c r="F11" s="94" t="s">
        <v>1854</v>
      </c>
      <c r="G11" s="93"/>
      <c r="H11" s="99" t="s">
        <v>95</v>
      </c>
      <c r="I11" s="98">
        <v>93164983</v>
      </c>
      <c r="J11" s="94" t="s">
        <v>96</v>
      </c>
      <c r="K11" s="99" t="s">
        <v>95</v>
      </c>
      <c r="L11" s="98">
        <v>93164983</v>
      </c>
      <c r="M11" s="99" t="s">
        <v>97</v>
      </c>
      <c r="N11" s="98" t="s">
        <v>20</v>
      </c>
      <c r="O11" s="94" t="s">
        <v>98</v>
      </c>
      <c r="P11" s="100">
        <v>2013</v>
      </c>
      <c r="Q11" s="97">
        <v>41282</v>
      </c>
      <c r="R11" s="98" t="s">
        <v>22</v>
      </c>
      <c r="S11" s="93" t="s">
        <v>1855</v>
      </c>
      <c r="T11" s="93">
        <v>1161621610</v>
      </c>
    </row>
    <row r="12" spans="1:20">
      <c r="A12" s="101">
        <v>321</v>
      </c>
      <c r="B12" s="102" t="s">
        <v>1853</v>
      </c>
      <c r="C12" s="7"/>
      <c r="D12" s="7"/>
      <c r="E12" s="7"/>
      <c r="F12" s="94" t="s">
        <v>95</v>
      </c>
      <c r="G12" s="8" t="s">
        <v>1856</v>
      </c>
      <c r="H12" s="94" t="s">
        <v>95</v>
      </c>
      <c r="I12" s="94">
        <v>93164983</v>
      </c>
      <c r="J12" s="94" t="s">
        <v>463</v>
      </c>
      <c r="K12" s="94" t="s">
        <v>95</v>
      </c>
      <c r="L12" s="94">
        <v>93164983</v>
      </c>
      <c r="M12" s="7" t="s">
        <v>97</v>
      </c>
      <c r="N12" s="7" t="s">
        <v>20</v>
      </c>
      <c r="O12" s="94" t="s">
        <v>175</v>
      </c>
      <c r="P12" s="8">
        <v>2013</v>
      </c>
      <c r="Q12" s="10">
        <v>41282</v>
      </c>
      <c r="R12" s="7" t="s">
        <v>123</v>
      </c>
      <c r="S12" s="7" t="s">
        <v>1855</v>
      </c>
      <c r="T12" s="93">
        <v>1161621610</v>
      </c>
    </row>
    <row r="13" spans="1:20">
      <c r="A13" s="94">
        <v>322</v>
      </c>
      <c r="B13" s="94" t="s">
        <v>1857</v>
      </c>
      <c r="C13" s="94"/>
      <c r="D13" s="94"/>
      <c r="E13" s="94"/>
      <c r="F13" s="94" t="s">
        <v>1858</v>
      </c>
      <c r="G13" s="93"/>
      <c r="H13" s="99" t="s">
        <v>99</v>
      </c>
      <c r="I13" s="98">
        <v>22717352</v>
      </c>
      <c r="J13" s="94" t="s">
        <v>100</v>
      </c>
      <c r="K13" s="99" t="s">
        <v>99</v>
      </c>
      <c r="L13" s="98">
        <v>22717352</v>
      </c>
      <c r="M13" s="99" t="s">
        <v>101</v>
      </c>
      <c r="N13" s="99" t="s">
        <v>102</v>
      </c>
      <c r="O13" s="94" t="s">
        <v>103</v>
      </c>
      <c r="P13" s="100">
        <v>2013</v>
      </c>
      <c r="Q13" s="97">
        <v>41544</v>
      </c>
      <c r="R13" s="98" t="s">
        <v>22</v>
      </c>
      <c r="S13" s="93" t="s">
        <v>1859</v>
      </c>
      <c r="T13" s="93">
        <v>1157404392</v>
      </c>
    </row>
    <row r="14" spans="1:20">
      <c r="A14" s="94">
        <v>323</v>
      </c>
      <c r="B14" s="94" t="s">
        <v>1860</v>
      </c>
      <c r="C14" s="94"/>
      <c r="D14" s="94"/>
      <c r="E14" s="94"/>
      <c r="F14" s="94" t="s">
        <v>292</v>
      </c>
      <c r="G14" s="93"/>
      <c r="H14" s="93"/>
      <c r="I14" s="94"/>
      <c r="J14" s="93"/>
      <c r="K14" s="93"/>
      <c r="L14" s="94"/>
      <c r="M14" s="93"/>
      <c r="N14" s="93"/>
      <c r="O14" s="94"/>
      <c r="P14" s="93"/>
      <c r="Q14" s="93"/>
      <c r="R14" s="93"/>
      <c r="S14" s="93"/>
      <c r="T14" s="93"/>
    </row>
    <row r="15" spans="1:20">
      <c r="A15" s="101">
        <v>323</v>
      </c>
      <c r="B15" s="102" t="s">
        <v>1861</v>
      </c>
      <c r="C15" s="7"/>
      <c r="D15" s="7"/>
      <c r="E15" s="7"/>
      <c r="F15" s="94" t="s">
        <v>292</v>
      </c>
      <c r="G15" s="8" t="s">
        <v>296</v>
      </c>
      <c r="H15" s="94" t="s">
        <v>292</v>
      </c>
      <c r="I15" s="94">
        <v>12270162</v>
      </c>
      <c r="J15" s="94" t="s">
        <v>293</v>
      </c>
      <c r="K15" s="94" t="s">
        <v>292</v>
      </c>
      <c r="L15" s="94">
        <v>12270162</v>
      </c>
      <c r="M15" s="7" t="s">
        <v>294</v>
      </c>
      <c r="N15" s="7" t="s">
        <v>63</v>
      </c>
      <c r="O15" s="94" t="s">
        <v>295</v>
      </c>
      <c r="P15" s="8">
        <v>2017</v>
      </c>
      <c r="Q15" s="10">
        <v>42751</v>
      </c>
      <c r="R15" s="7" t="s">
        <v>57</v>
      </c>
      <c r="S15" s="7" t="s">
        <v>1862</v>
      </c>
      <c r="T15" s="93">
        <v>1156060039</v>
      </c>
    </row>
    <row r="16" spans="1:20">
      <c r="A16" s="94">
        <v>324</v>
      </c>
      <c r="B16" s="94" t="s">
        <v>1863</v>
      </c>
      <c r="C16" s="94"/>
      <c r="D16" s="94"/>
      <c r="E16" s="94"/>
      <c r="F16" s="94" t="s">
        <v>1864</v>
      </c>
      <c r="G16" s="93"/>
      <c r="H16" s="93"/>
      <c r="I16" s="94"/>
      <c r="J16" s="93"/>
      <c r="K16" s="93"/>
      <c r="L16" s="94"/>
      <c r="M16" s="93"/>
      <c r="N16" s="93"/>
      <c r="O16" s="94"/>
      <c r="P16" s="93"/>
      <c r="Q16" s="93"/>
      <c r="R16" s="93"/>
      <c r="S16" s="93"/>
      <c r="T16" s="93"/>
    </row>
    <row r="17" spans="1:20">
      <c r="A17" s="101">
        <v>324</v>
      </c>
      <c r="B17" s="102" t="s">
        <v>1865</v>
      </c>
      <c r="C17" s="7"/>
      <c r="D17" s="7"/>
      <c r="E17" s="7"/>
      <c r="F17" s="94" t="s">
        <v>1864</v>
      </c>
      <c r="G17" s="8" t="s">
        <v>291</v>
      </c>
      <c r="H17" s="94" t="s">
        <v>1864</v>
      </c>
      <c r="I17" s="94">
        <v>13359331</v>
      </c>
      <c r="J17" s="94" t="s">
        <v>287</v>
      </c>
      <c r="K17" s="94" t="s">
        <v>288</v>
      </c>
      <c r="L17" s="94">
        <v>17587488</v>
      </c>
      <c r="M17" s="7" t="s">
        <v>289</v>
      </c>
      <c r="N17" s="7" t="s">
        <v>12</v>
      </c>
      <c r="O17" s="94" t="s">
        <v>290</v>
      </c>
      <c r="P17" s="8">
        <v>2011</v>
      </c>
      <c r="Q17" s="10">
        <v>40546</v>
      </c>
      <c r="R17" s="7" t="s">
        <v>57</v>
      </c>
      <c r="S17" s="7" t="s">
        <v>1866</v>
      </c>
      <c r="T17" s="93">
        <v>1156470816</v>
      </c>
    </row>
    <row r="18" spans="1:20">
      <c r="A18" s="94">
        <v>325</v>
      </c>
      <c r="B18" s="94" t="s">
        <v>1867</v>
      </c>
      <c r="C18" s="94"/>
      <c r="D18" s="94"/>
      <c r="E18" s="94"/>
      <c r="F18" s="94" t="s">
        <v>104</v>
      </c>
      <c r="G18" s="93"/>
      <c r="H18" s="93"/>
      <c r="I18" s="94"/>
      <c r="J18" s="93"/>
      <c r="K18" s="93"/>
      <c r="L18" s="94"/>
      <c r="M18" s="93"/>
      <c r="N18" s="93"/>
      <c r="O18" s="94"/>
      <c r="P18" s="93"/>
      <c r="Q18" s="93"/>
      <c r="R18" s="93"/>
      <c r="S18" s="93"/>
      <c r="T18" s="93"/>
    </row>
    <row r="19" spans="1:20">
      <c r="A19" s="94">
        <v>326</v>
      </c>
      <c r="B19" s="94" t="s">
        <v>1868</v>
      </c>
      <c r="C19" s="94"/>
      <c r="D19" s="94"/>
      <c r="E19" s="94"/>
      <c r="F19" s="94" t="s">
        <v>104</v>
      </c>
      <c r="G19" s="93"/>
      <c r="H19" s="93"/>
      <c r="I19" s="94"/>
      <c r="J19" s="93"/>
      <c r="K19" s="93"/>
      <c r="L19" s="94"/>
      <c r="M19" s="93"/>
      <c r="N19" s="93"/>
      <c r="O19" s="94"/>
      <c r="P19" s="93"/>
      <c r="Q19" s="93"/>
      <c r="R19" s="93"/>
      <c r="S19" s="93"/>
      <c r="T19" s="93"/>
    </row>
    <row r="20" spans="1:20">
      <c r="A20" s="94">
        <v>327</v>
      </c>
      <c r="B20" s="94" t="s">
        <v>1869</v>
      </c>
      <c r="C20" s="94"/>
      <c r="D20" s="94"/>
      <c r="E20" s="94"/>
      <c r="F20" s="94" t="s">
        <v>104</v>
      </c>
      <c r="G20" s="93"/>
      <c r="H20" s="93"/>
      <c r="I20" s="94"/>
      <c r="J20" s="93"/>
      <c r="K20" s="93"/>
      <c r="L20" s="94"/>
      <c r="M20" s="93"/>
      <c r="N20" s="93"/>
      <c r="O20" s="94"/>
      <c r="P20" s="93"/>
      <c r="Q20" s="93"/>
      <c r="R20" s="93"/>
      <c r="S20" s="93"/>
      <c r="T20" s="93"/>
    </row>
    <row r="21" spans="1:20">
      <c r="A21" s="94">
        <v>328</v>
      </c>
      <c r="B21" s="94" t="s">
        <v>1870</v>
      </c>
      <c r="C21" s="94"/>
      <c r="D21" s="94"/>
      <c r="E21" s="94"/>
      <c r="F21" s="94" t="s">
        <v>409</v>
      </c>
      <c r="G21" s="93"/>
      <c r="H21" s="93"/>
      <c r="I21" s="94"/>
      <c r="J21" s="93"/>
      <c r="K21" s="93"/>
      <c r="L21" s="94"/>
      <c r="M21" s="93"/>
      <c r="N21" s="93"/>
      <c r="O21" s="94"/>
      <c r="P21" s="93"/>
      <c r="Q21" s="93"/>
      <c r="R21" s="93"/>
      <c r="S21" s="93"/>
      <c r="T21" s="93"/>
    </row>
    <row r="22" spans="1:20">
      <c r="A22" s="94">
        <v>329</v>
      </c>
      <c r="B22" s="94" t="s">
        <v>1871</v>
      </c>
      <c r="C22" s="94">
        <v>129</v>
      </c>
      <c r="D22" s="96">
        <v>44687</v>
      </c>
      <c r="E22" s="94"/>
      <c r="F22" s="94" t="s">
        <v>105</v>
      </c>
      <c r="G22" s="93" t="s">
        <v>312</v>
      </c>
      <c r="H22" s="94" t="s">
        <v>105</v>
      </c>
      <c r="I22" s="94">
        <v>13217486</v>
      </c>
      <c r="J22" s="93" t="s">
        <v>106</v>
      </c>
      <c r="K22" s="94" t="s">
        <v>105</v>
      </c>
      <c r="L22" s="94">
        <v>13217486</v>
      </c>
      <c r="M22" s="93" t="s">
        <v>107</v>
      </c>
      <c r="N22" s="93" t="s">
        <v>108</v>
      </c>
      <c r="O22" s="94" t="s">
        <v>109</v>
      </c>
      <c r="P22" s="93">
        <v>2021</v>
      </c>
      <c r="Q22" s="103">
        <v>44403</v>
      </c>
      <c r="R22" s="93" t="s">
        <v>110</v>
      </c>
      <c r="S22" s="93" t="s">
        <v>1872</v>
      </c>
      <c r="T22" s="93">
        <v>1149732733</v>
      </c>
    </row>
    <row r="23" spans="1:20">
      <c r="A23" s="101">
        <v>329</v>
      </c>
      <c r="B23" s="102" t="s">
        <v>1873</v>
      </c>
      <c r="C23" s="7"/>
      <c r="D23" s="7"/>
      <c r="E23" s="7"/>
      <c r="F23" s="94" t="s">
        <v>458</v>
      </c>
      <c r="G23" s="8" t="s">
        <v>312</v>
      </c>
      <c r="H23" s="94" t="s">
        <v>458</v>
      </c>
      <c r="I23" s="94">
        <v>13217486</v>
      </c>
      <c r="J23" s="94" t="s">
        <v>106</v>
      </c>
      <c r="K23" s="94" t="s">
        <v>458</v>
      </c>
      <c r="L23" s="94">
        <v>13217486</v>
      </c>
      <c r="M23" s="7" t="s">
        <v>107</v>
      </c>
      <c r="N23" s="7" t="s">
        <v>108</v>
      </c>
      <c r="O23" s="94" t="s">
        <v>109</v>
      </c>
      <c r="P23" s="8">
        <v>2021</v>
      </c>
      <c r="Q23" s="10">
        <v>44404</v>
      </c>
      <c r="R23" s="7" t="s">
        <v>110</v>
      </c>
      <c r="S23" s="7" t="s">
        <v>1874</v>
      </c>
      <c r="T23" s="93">
        <v>1149732733</v>
      </c>
    </row>
    <row r="24" spans="1:20">
      <c r="A24" s="94">
        <v>341</v>
      </c>
      <c r="B24" s="102" t="s">
        <v>1875</v>
      </c>
      <c r="C24" s="102"/>
      <c r="D24" s="102"/>
      <c r="E24" s="102"/>
      <c r="F24" s="94" t="s">
        <v>1876</v>
      </c>
      <c r="G24" s="93" t="s">
        <v>163</v>
      </c>
      <c r="H24" s="99" t="s">
        <v>160</v>
      </c>
      <c r="I24" s="98">
        <v>13242527</v>
      </c>
      <c r="J24" s="94" t="s">
        <v>161</v>
      </c>
      <c r="K24" s="99" t="s">
        <v>160</v>
      </c>
      <c r="L24" s="98">
        <v>13242527</v>
      </c>
      <c r="M24" s="99" t="s">
        <v>162</v>
      </c>
      <c r="N24" s="98" t="s">
        <v>20</v>
      </c>
      <c r="O24" s="94" t="s">
        <v>1877</v>
      </c>
      <c r="P24" s="100">
        <v>2013</v>
      </c>
      <c r="Q24" s="97">
        <v>41576</v>
      </c>
      <c r="R24" s="98" t="s">
        <v>57</v>
      </c>
      <c r="S24" s="98"/>
      <c r="T24" s="93"/>
    </row>
    <row r="25" spans="1:20">
      <c r="A25" s="94">
        <v>350</v>
      </c>
      <c r="B25" s="102" t="s">
        <v>1878</v>
      </c>
      <c r="C25" s="7"/>
      <c r="D25" s="7"/>
      <c r="E25" s="7"/>
      <c r="F25" s="94" t="s">
        <v>195</v>
      </c>
      <c r="G25" s="8" t="s">
        <v>199</v>
      </c>
      <c r="H25" s="94" t="s">
        <v>195</v>
      </c>
      <c r="I25" s="94">
        <v>31079665</v>
      </c>
      <c r="J25" s="94" t="s">
        <v>196</v>
      </c>
      <c r="K25" s="94" t="s">
        <v>195</v>
      </c>
      <c r="L25" s="94">
        <v>31079665</v>
      </c>
      <c r="M25" s="94" t="s">
        <v>197</v>
      </c>
      <c r="N25" s="94" t="s">
        <v>20</v>
      </c>
      <c r="O25" s="94" t="s">
        <v>198</v>
      </c>
      <c r="P25" s="8">
        <v>2017</v>
      </c>
      <c r="Q25" s="97">
        <v>43049</v>
      </c>
      <c r="R25" s="94" t="s">
        <v>22</v>
      </c>
      <c r="S25" s="94" t="s">
        <v>1879</v>
      </c>
      <c r="T25" s="93">
        <v>1138994301</v>
      </c>
    </row>
    <row r="26" spans="1:20">
      <c r="A26" s="101">
        <v>368</v>
      </c>
      <c r="B26" s="102" t="s">
        <v>1880</v>
      </c>
      <c r="C26" s="7"/>
      <c r="D26" s="7"/>
      <c r="E26" s="7"/>
      <c r="F26" s="7" t="s">
        <v>265</v>
      </c>
      <c r="G26" s="8" t="s">
        <v>15</v>
      </c>
      <c r="H26" s="94" t="s">
        <v>265</v>
      </c>
      <c r="I26" s="94">
        <v>42115604</v>
      </c>
      <c r="J26" s="94" t="s">
        <v>1881</v>
      </c>
      <c r="K26" s="7" t="s">
        <v>266</v>
      </c>
      <c r="L26" s="94">
        <v>17896490</v>
      </c>
      <c r="M26" s="7" t="s">
        <v>267</v>
      </c>
      <c r="N26" s="7" t="s">
        <v>63</v>
      </c>
      <c r="O26" s="94" t="s">
        <v>268</v>
      </c>
      <c r="P26" s="8">
        <v>2019</v>
      </c>
      <c r="Q26" s="13">
        <v>43706</v>
      </c>
      <c r="R26" s="11" t="s">
        <v>22</v>
      </c>
      <c r="S26" s="7" t="s">
        <v>1882</v>
      </c>
      <c r="T26" s="93">
        <v>1124156034</v>
      </c>
    </row>
    <row r="27" spans="1:20">
      <c r="A27" s="101">
        <v>376</v>
      </c>
      <c r="B27" s="102" t="s">
        <v>1883</v>
      </c>
      <c r="C27" s="7"/>
      <c r="D27" s="7"/>
      <c r="E27" s="7"/>
      <c r="F27" s="94" t="s">
        <v>308</v>
      </c>
      <c r="G27" s="8" t="s">
        <v>312</v>
      </c>
      <c r="H27" s="94" t="s">
        <v>308</v>
      </c>
      <c r="I27" s="94">
        <v>45863982</v>
      </c>
      <c r="J27" s="94" t="s">
        <v>309</v>
      </c>
      <c r="K27" s="94" t="s">
        <v>1858</v>
      </c>
      <c r="L27" s="94">
        <v>22717352</v>
      </c>
      <c r="M27" s="7" t="s">
        <v>310</v>
      </c>
      <c r="N27" s="7" t="s">
        <v>12</v>
      </c>
      <c r="O27" s="94" t="s">
        <v>311</v>
      </c>
      <c r="P27" s="8">
        <v>2011</v>
      </c>
      <c r="Q27" s="10">
        <v>40634</v>
      </c>
      <c r="R27" s="7" t="s">
        <v>22</v>
      </c>
      <c r="S27" s="7" t="s">
        <v>1884</v>
      </c>
      <c r="T27" s="93">
        <v>1157404392</v>
      </c>
    </row>
    <row r="28" spans="1:20">
      <c r="A28" s="101">
        <v>390</v>
      </c>
      <c r="B28" s="102" t="s">
        <v>1885</v>
      </c>
      <c r="C28" s="7"/>
      <c r="D28" s="7"/>
      <c r="E28" s="7"/>
      <c r="F28" s="94" t="s">
        <v>360</v>
      </c>
      <c r="G28" s="94" t="s">
        <v>312</v>
      </c>
      <c r="H28" s="94" t="s">
        <v>360</v>
      </c>
      <c r="I28" s="94">
        <v>17587488</v>
      </c>
      <c r="J28" s="94" t="s">
        <v>361</v>
      </c>
      <c r="K28" s="94" t="s">
        <v>362</v>
      </c>
      <c r="L28" s="94">
        <v>40423247</v>
      </c>
      <c r="M28" s="7" t="s">
        <v>363</v>
      </c>
      <c r="N28" s="7" t="s">
        <v>26</v>
      </c>
      <c r="O28" s="94" t="s">
        <v>364</v>
      </c>
      <c r="P28" s="8">
        <v>2017</v>
      </c>
      <c r="Q28" s="9">
        <v>42888</v>
      </c>
      <c r="R28" s="7" t="s">
        <v>22</v>
      </c>
      <c r="S28" s="7" t="s">
        <v>1866</v>
      </c>
      <c r="T28" s="93">
        <v>1156470816</v>
      </c>
    </row>
    <row r="29" spans="1:20">
      <c r="A29" s="101">
        <v>410</v>
      </c>
      <c r="B29" s="102" t="s">
        <v>1886</v>
      </c>
      <c r="C29" s="7"/>
      <c r="D29" s="7"/>
      <c r="E29" s="7"/>
      <c r="F29" s="94" t="s">
        <v>441</v>
      </c>
      <c r="G29" s="8" t="s">
        <v>199</v>
      </c>
      <c r="H29" s="94" t="s">
        <v>441</v>
      </c>
      <c r="I29" s="94">
        <v>16600405</v>
      </c>
      <c r="J29" s="94" t="s">
        <v>442</v>
      </c>
      <c r="K29" s="94" t="s">
        <v>41</v>
      </c>
      <c r="L29" s="94">
        <v>92157368</v>
      </c>
      <c r="M29" s="7" t="s">
        <v>443</v>
      </c>
      <c r="N29" s="7" t="s">
        <v>208</v>
      </c>
      <c r="O29" s="94" t="s">
        <v>209</v>
      </c>
      <c r="P29" s="8">
        <v>2018</v>
      </c>
      <c r="Q29" s="10">
        <v>43356</v>
      </c>
      <c r="R29" s="7" t="s">
        <v>22</v>
      </c>
      <c r="S29" s="7" t="s">
        <v>1887</v>
      </c>
      <c r="T29" s="93">
        <v>1138456872</v>
      </c>
    </row>
    <row r="30" spans="1:20">
      <c r="A30" s="101">
        <v>414</v>
      </c>
      <c r="B30" s="102" t="s">
        <v>1888</v>
      </c>
      <c r="C30" s="7"/>
      <c r="D30" s="7"/>
      <c r="E30" s="7"/>
      <c r="F30" s="94" t="s">
        <v>160</v>
      </c>
      <c r="G30" s="8" t="s">
        <v>163</v>
      </c>
      <c r="H30" s="94" t="s">
        <v>160</v>
      </c>
      <c r="I30" s="94">
        <v>13242527</v>
      </c>
      <c r="J30" s="94" t="s">
        <v>161</v>
      </c>
      <c r="K30" s="94" t="s">
        <v>160</v>
      </c>
      <c r="L30" s="94">
        <v>13242527</v>
      </c>
      <c r="M30" s="7" t="s">
        <v>456</v>
      </c>
      <c r="N30" s="7" t="s">
        <v>203</v>
      </c>
      <c r="O30" s="94" t="s">
        <v>457</v>
      </c>
      <c r="P30" s="8">
        <v>2017</v>
      </c>
      <c r="Q30" s="10">
        <v>42754</v>
      </c>
      <c r="R30" s="7" t="s">
        <v>57</v>
      </c>
      <c r="S30" s="7" t="s">
        <v>1889</v>
      </c>
      <c r="T30" s="93">
        <v>42088044</v>
      </c>
    </row>
    <row r="31" spans="1:20">
      <c r="A31" s="101">
        <v>415</v>
      </c>
      <c r="B31" s="102" t="s">
        <v>1890</v>
      </c>
      <c r="C31" s="7"/>
      <c r="D31" s="7"/>
      <c r="E31" s="7"/>
      <c r="F31" s="94" t="s">
        <v>464</v>
      </c>
      <c r="G31" s="8" t="s">
        <v>462</v>
      </c>
      <c r="H31" s="94" t="s">
        <v>464</v>
      </c>
      <c r="I31" s="94">
        <v>27778955</v>
      </c>
      <c r="J31" s="94" t="s">
        <v>465</v>
      </c>
      <c r="K31" s="94" t="s">
        <v>464</v>
      </c>
      <c r="L31" s="94">
        <v>27778955</v>
      </c>
      <c r="M31" s="7" t="s">
        <v>466</v>
      </c>
      <c r="N31" s="7" t="s">
        <v>20</v>
      </c>
      <c r="O31" s="94" t="s">
        <v>467</v>
      </c>
      <c r="P31" s="8">
        <v>2021</v>
      </c>
      <c r="Q31" s="10">
        <v>44209</v>
      </c>
      <c r="R31" s="7" t="s">
        <v>22</v>
      </c>
      <c r="S31" s="7" t="s">
        <v>1891</v>
      </c>
      <c r="T31" s="93">
        <v>1144466630</v>
      </c>
    </row>
    <row r="32" spans="1:20">
      <c r="A32" s="101">
        <v>417</v>
      </c>
      <c r="B32" s="102" t="s">
        <v>1892</v>
      </c>
      <c r="C32" s="7"/>
      <c r="D32" s="7"/>
      <c r="E32" s="7"/>
      <c r="F32" s="94" t="s">
        <v>472</v>
      </c>
      <c r="G32" s="93" t="s">
        <v>476</v>
      </c>
      <c r="H32" s="94" t="s">
        <v>472</v>
      </c>
      <c r="I32" s="94">
        <v>11815629</v>
      </c>
      <c r="J32" s="94" t="s">
        <v>473</v>
      </c>
      <c r="K32" s="94" t="s">
        <v>472</v>
      </c>
      <c r="L32" s="94">
        <v>11815629</v>
      </c>
      <c r="M32" s="7" t="s">
        <v>474</v>
      </c>
      <c r="N32" s="7" t="s">
        <v>67</v>
      </c>
      <c r="O32" s="94" t="s">
        <v>475</v>
      </c>
      <c r="P32" s="8">
        <v>2017</v>
      </c>
      <c r="Q32" s="10">
        <v>43006</v>
      </c>
      <c r="R32" s="7" t="s">
        <v>22</v>
      </c>
      <c r="S32" s="7" t="s">
        <v>1893</v>
      </c>
      <c r="T32" s="93">
        <v>1135714570</v>
      </c>
    </row>
    <row r="33" spans="1:20">
      <c r="A33" s="101">
        <v>418</v>
      </c>
      <c r="B33" s="102" t="s">
        <v>1894</v>
      </c>
      <c r="C33" s="7"/>
      <c r="D33" s="7"/>
      <c r="E33" s="7"/>
      <c r="F33" s="94" t="s">
        <v>409</v>
      </c>
      <c r="G33" s="93" t="s">
        <v>479</v>
      </c>
      <c r="H33" s="94" t="s">
        <v>409</v>
      </c>
      <c r="I33" s="94">
        <v>17572707</v>
      </c>
      <c r="J33" s="94" t="s">
        <v>410</v>
      </c>
      <c r="K33" s="7" t="s">
        <v>409</v>
      </c>
      <c r="L33" s="7">
        <v>17572707</v>
      </c>
      <c r="M33" s="7" t="s">
        <v>477</v>
      </c>
      <c r="N33" s="7" t="s">
        <v>20</v>
      </c>
      <c r="O33" s="94" t="s">
        <v>478</v>
      </c>
      <c r="P33" s="8">
        <v>2014</v>
      </c>
      <c r="Q33" s="10">
        <v>41873</v>
      </c>
      <c r="R33" s="7" t="s">
        <v>22</v>
      </c>
      <c r="S33" s="7" t="s">
        <v>1895</v>
      </c>
      <c r="T33" s="93">
        <v>1134684926</v>
      </c>
    </row>
    <row r="34" spans="1:20">
      <c r="A34" s="94" t="s">
        <v>1896</v>
      </c>
      <c r="B34" s="94" t="s">
        <v>1897</v>
      </c>
      <c r="C34" s="94"/>
      <c r="D34" s="94"/>
      <c r="E34" s="94"/>
      <c r="F34" s="94" t="s">
        <v>86</v>
      </c>
      <c r="G34" s="93" t="s">
        <v>48</v>
      </c>
      <c r="H34" s="94" t="s">
        <v>86</v>
      </c>
      <c r="I34" s="94">
        <v>32655517</v>
      </c>
      <c r="J34" s="94" t="s">
        <v>87</v>
      </c>
      <c r="K34" s="94" t="s">
        <v>88</v>
      </c>
      <c r="L34" s="94">
        <v>31799657</v>
      </c>
      <c r="M34" s="94" t="s">
        <v>89</v>
      </c>
      <c r="N34" s="94" t="s">
        <v>63</v>
      </c>
      <c r="O34" s="94" t="s">
        <v>90</v>
      </c>
      <c r="P34" s="93">
        <v>2012</v>
      </c>
      <c r="Q34" s="96">
        <v>41169</v>
      </c>
      <c r="R34" s="94" t="s">
        <v>57</v>
      </c>
      <c r="S34" s="94" t="s">
        <v>1898</v>
      </c>
      <c r="T34" s="93">
        <v>1172872703</v>
      </c>
    </row>
    <row r="35" spans="1:20">
      <c r="A35" s="94" t="s">
        <v>1899</v>
      </c>
      <c r="B35" s="94" t="s">
        <v>1900</v>
      </c>
      <c r="C35" s="94"/>
      <c r="D35" s="94"/>
      <c r="E35" s="94"/>
      <c r="F35" s="94" t="s">
        <v>17</v>
      </c>
      <c r="G35" s="93" t="s">
        <v>48</v>
      </c>
      <c r="H35" s="94" t="s">
        <v>17</v>
      </c>
      <c r="I35" s="94">
        <v>30181578</v>
      </c>
      <c r="J35" s="94" t="s">
        <v>18</v>
      </c>
      <c r="K35" s="94" t="s">
        <v>17</v>
      </c>
      <c r="L35" s="94">
        <v>30181578</v>
      </c>
      <c r="M35" s="94" t="s">
        <v>19</v>
      </c>
      <c r="N35" s="94" t="s">
        <v>20</v>
      </c>
      <c r="O35" s="94" t="s">
        <v>21</v>
      </c>
      <c r="P35" s="93">
        <v>2021</v>
      </c>
      <c r="Q35" s="96">
        <v>44397</v>
      </c>
      <c r="R35" s="94" t="s">
        <v>22</v>
      </c>
      <c r="S35" s="93" t="s">
        <v>1901</v>
      </c>
      <c r="T35" s="93">
        <v>1125873129</v>
      </c>
    </row>
    <row r="36" spans="1:20">
      <c r="A36" s="94" t="s">
        <v>1902</v>
      </c>
      <c r="B36" s="94" t="s">
        <v>1903</v>
      </c>
      <c r="C36" s="94"/>
      <c r="D36" s="94"/>
      <c r="E36" s="94"/>
      <c r="F36" s="94" t="s">
        <v>23</v>
      </c>
      <c r="G36" s="93" t="s">
        <v>48</v>
      </c>
      <c r="H36" s="99" t="s">
        <v>23</v>
      </c>
      <c r="I36" s="98">
        <v>29258608</v>
      </c>
      <c r="J36" s="94" t="s">
        <v>24</v>
      </c>
      <c r="K36" s="99" t="s">
        <v>23</v>
      </c>
      <c r="L36" s="98">
        <v>29258608</v>
      </c>
      <c r="M36" s="99" t="s">
        <v>25</v>
      </c>
      <c r="N36" s="99" t="s">
        <v>26</v>
      </c>
      <c r="O36" s="94" t="s">
        <v>27</v>
      </c>
      <c r="P36" s="100">
        <v>2018</v>
      </c>
      <c r="Q36" s="97">
        <v>43405</v>
      </c>
      <c r="R36" s="98" t="s">
        <v>22</v>
      </c>
      <c r="S36" s="93" t="s">
        <v>1904</v>
      </c>
      <c r="T36" s="93">
        <v>1130602358</v>
      </c>
    </row>
    <row r="37" spans="1:20">
      <c r="A37" s="94" t="s">
        <v>33</v>
      </c>
      <c r="B37" s="94" t="s">
        <v>1905</v>
      </c>
      <c r="C37" s="94"/>
      <c r="D37" s="94"/>
      <c r="E37" s="94"/>
      <c r="F37" s="94" t="s">
        <v>1906</v>
      </c>
      <c r="G37" s="93" t="s">
        <v>48</v>
      </c>
      <c r="H37" s="94" t="s">
        <v>1906</v>
      </c>
      <c r="I37" s="94">
        <v>33207017</v>
      </c>
      <c r="J37" s="94" t="s">
        <v>34</v>
      </c>
      <c r="K37" s="94" t="s">
        <v>35</v>
      </c>
      <c r="L37" s="94">
        <v>32964569</v>
      </c>
      <c r="M37" s="94" t="s">
        <v>36</v>
      </c>
      <c r="N37" s="94" t="s">
        <v>37</v>
      </c>
      <c r="O37" s="94" t="s">
        <v>38</v>
      </c>
      <c r="P37" s="93"/>
      <c r="Q37" s="94"/>
      <c r="R37" s="94" t="s">
        <v>22</v>
      </c>
      <c r="S37" s="94"/>
      <c r="T37" s="93"/>
    </row>
    <row r="38" spans="1:20">
      <c r="A38" s="94" t="s">
        <v>44</v>
      </c>
      <c r="B38" s="94" t="s">
        <v>1907</v>
      </c>
      <c r="C38" s="94"/>
      <c r="D38" s="94"/>
      <c r="E38" s="94"/>
      <c r="F38" s="94" t="s">
        <v>1908</v>
      </c>
      <c r="G38" s="93" t="s">
        <v>48</v>
      </c>
      <c r="H38" s="94" t="s">
        <v>1908</v>
      </c>
      <c r="I38" s="94">
        <v>95973913</v>
      </c>
      <c r="J38" s="94" t="s">
        <v>45</v>
      </c>
      <c r="K38" s="94" t="s">
        <v>1908</v>
      </c>
      <c r="L38" s="94">
        <v>95973913</v>
      </c>
      <c r="M38" s="94" t="s">
        <v>46</v>
      </c>
      <c r="N38" s="94" t="s">
        <v>26</v>
      </c>
      <c r="O38" s="94" t="s">
        <v>47</v>
      </c>
      <c r="P38" s="93">
        <v>2021</v>
      </c>
      <c r="Q38" s="96">
        <v>44278</v>
      </c>
      <c r="R38" s="94" t="s">
        <v>22</v>
      </c>
      <c r="S38" s="94" t="s">
        <v>1909</v>
      </c>
      <c r="T38" s="93">
        <v>1126918533</v>
      </c>
    </row>
    <row r="39" spans="1:20">
      <c r="A39" s="94" t="s">
        <v>1910</v>
      </c>
      <c r="B39" s="94" t="s">
        <v>1911</v>
      </c>
      <c r="C39" s="94"/>
      <c r="D39" s="94"/>
      <c r="E39" s="94"/>
      <c r="F39" s="94" t="s">
        <v>53</v>
      </c>
      <c r="G39" s="93" t="s">
        <v>48</v>
      </c>
      <c r="H39" s="94" t="s">
        <v>53</v>
      </c>
      <c r="I39" s="94">
        <v>16893695</v>
      </c>
      <c r="J39" s="94" t="s">
        <v>54</v>
      </c>
      <c r="K39" s="94" t="s">
        <v>53</v>
      </c>
      <c r="L39" s="94">
        <v>16893695</v>
      </c>
      <c r="M39" s="94" t="s">
        <v>55</v>
      </c>
      <c r="N39" s="94" t="s">
        <v>12</v>
      </c>
      <c r="O39" s="94" t="s">
        <v>56</v>
      </c>
      <c r="P39" s="93">
        <v>2018</v>
      </c>
      <c r="Q39" s="96">
        <v>43328</v>
      </c>
      <c r="R39" s="94" t="s">
        <v>57</v>
      </c>
      <c r="S39" s="94" t="s">
        <v>1912</v>
      </c>
      <c r="T39" s="93">
        <v>1121676317</v>
      </c>
    </row>
    <row r="40" spans="1:20">
      <c r="A40" s="94" t="s">
        <v>1913</v>
      </c>
      <c r="B40" s="94" t="s">
        <v>1914</v>
      </c>
      <c r="C40" s="94"/>
      <c r="D40" s="94"/>
      <c r="E40" s="94"/>
      <c r="F40" s="94" t="s">
        <v>58</v>
      </c>
      <c r="G40" s="93" t="s">
        <v>48</v>
      </c>
      <c r="H40" s="94" t="s">
        <v>58</v>
      </c>
      <c r="I40" s="94">
        <v>20446364</v>
      </c>
      <c r="J40" s="94" t="s">
        <v>59</v>
      </c>
      <c r="K40" s="94" t="s">
        <v>58</v>
      </c>
      <c r="L40" s="94">
        <v>20446364</v>
      </c>
      <c r="M40" s="94" t="s">
        <v>60</v>
      </c>
      <c r="N40" s="94" t="s">
        <v>12</v>
      </c>
      <c r="O40" s="94" t="s">
        <v>61</v>
      </c>
      <c r="P40" s="93">
        <v>2021</v>
      </c>
      <c r="Q40" s="96">
        <v>44223</v>
      </c>
      <c r="R40" s="94" t="s">
        <v>22</v>
      </c>
      <c r="S40" s="94" t="s">
        <v>1915</v>
      </c>
      <c r="T40" s="93">
        <v>1132361512</v>
      </c>
    </row>
    <row r="41" spans="1:20">
      <c r="A41" s="94" t="s">
        <v>1916</v>
      </c>
      <c r="B41" s="94" t="s">
        <v>1917</v>
      </c>
      <c r="C41" s="94"/>
      <c r="D41" s="94"/>
      <c r="E41" s="94"/>
      <c r="F41" s="94" t="s">
        <v>1918</v>
      </c>
      <c r="G41" s="93" t="s">
        <v>48</v>
      </c>
      <c r="H41" s="94" t="s">
        <v>1918</v>
      </c>
      <c r="I41" s="94">
        <v>94456794</v>
      </c>
      <c r="J41" s="94" t="s">
        <v>1919</v>
      </c>
      <c r="K41" s="94" t="s">
        <v>1918</v>
      </c>
      <c r="L41" s="94">
        <v>94456794</v>
      </c>
      <c r="M41" s="94" t="s">
        <v>62</v>
      </c>
      <c r="N41" s="94" t="s">
        <v>63</v>
      </c>
      <c r="O41" s="94" t="s">
        <v>64</v>
      </c>
      <c r="P41" s="93">
        <v>2019</v>
      </c>
      <c r="Q41" s="96">
        <v>43550</v>
      </c>
      <c r="R41" s="94" t="s">
        <v>57</v>
      </c>
      <c r="S41" s="94" t="s">
        <v>1920</v>
      </c>
      <c r="T41" s="93">
        <v>1136209404</v>
      </c>
    </row>
    <row r="42" spans="1:20">
      <c r="A42" s="94" t="s">
        <v>1921</v>
      </c>
      <c r="B42" s="94" t="s">
        <v>1922</v>
      </c>
      <c r="C42" s="94"/>
      <c r="D42" s="94"/>
      <c r="E42" s="94"/>
      <c r="F42" s="94" t="s">
        <v>65</v>
      </c>
      <c r="G42" s="93" t="s">
        <v>48</v>
      </c>
      <c r="H42" s="94" t="s">
        <v>65</v>
      </c>
      <c r="I42" s="94">
        <v>21543932</v>
      </c>
      <c r="J42" s="94" t="s">
        <v>1923</v>
      </c>
      <c r="K42" s="94" t="s">
        <v>65</v>
      </c>
      <c r="L42" s="94">
        <v>21543932</v>
      </c>
      <c r="M42" s="94" t="s">
        <v>66</v>
      </c>
      <c r="N42" s="94" t="s">
        <v>67</v>
      </c>
      <c r="O42" s="94" t="s">
        <v>68</v>
      </c>
      <c r="P42" s="93">
        <v>2022</v>
      </c>
      <c r="Q42" s="96">
        <v>44735</v>
      </c>
      <c r="R42" s="94" t="s">
        <v>22</v>
      </c>
      <c r="S42" s="94" t="s">
        <v>1924</v>
      </c>
      <c r="T42" s="93">
        <v>1131648787</v>
      </c>
    </row>
    <row r="43" spans="1:20">
      <c r="A43" s="94" t="s">
        <v>1925</v>
      </c>
      <c r="B43" s="94" t="s">
        <v>1926</v>
      </c>
      <c r="C43" s="94"/>
      <c r="D43" s="94"/>
      <c r="E43" s="94"/>
      <c r="F43" s="94" t="s">
        <v>69</v>
      </c>
      <c r="G43" s="93" t="s">
        <v>48</v>
      </c>
      <c r="H43" s="94" t="s">
        <v>69</v>
      </c>
      <c r="I43" s="94">
        <v>26748448</v>
      </c>
      <c r="J43" s="94" t="s">
        <v>70</v>
      </c>
      <c r="K43" s="94" t="s">
        <v>69</v>
      </c>
      <c r="L43" s="94">
        <v>26748448</v>
      </c>
      <c r="M43" s="94" t="s">
        <v>71</v>
      </c>
      <c r="N43" s="94" t="s">
        <v>20</v>
      </c>
      <c r="O43" s="94" t="s">
        <v>72</v>
      </c>
      <c r="P43" s="93">
        <v>2013</v>
      </c>
      <c r="Q43" s="96">
        <v>41430</v>
      </c>
      <c r="R43" s="94" t="s">
        <v>22</v>
      </c>
      <c r="S43" s="94" t="s">
        <v>1927</v>
      </c>
      <c r="T43" s="93">
        <v>1126946247</v>
      </c>
    </row>
    <row r="44" spans="1:20">
      <c r="A44" s="94" t="s">
        <v>1928</v>
      </c>
      <c r="B44" s="94" t="s">
        <v>1929</v>
      </c>
      <c r="C44" s="94"/>
      <c r="D44" s="94"/>
      <c r="E44" s="94"/>
      <c r="F44" s="94" t="s">
        <v>78</v>
      </c>
      <c r="G44" s="93" t="s">
        <v>48</v>
      </c>
      <c r="H44" s="94" t="s">
        <v>78</v>
      </c>
      <c r="I44" s="94">
        <v>94215418</v>
      </c>
      <c r="J44" s="94" t="s">
        <v>79</v>
      </c>
      <c r="K44" s="94" t="s">
        <v>78</v>
      </c>
      <c r="L44" s="94">
        <v>94215418</v>
      </c>
      <c r="M44" s="94" t="s">
        <v>80</v>
      </c>
      <c r="N44" s="99" t="s">
        <v>63</v>
      </c>
      <c r="O44" s="94" t="s">
        <v>81</v>
      </c>
      <c r="P44" s="100">
        <v>2015</v>
      </c>
      <c r="Q44" s="97">
        <v>42079</v>
      </c>
      <c r="R44" s="98" t="s">
        <v>57</v>
      </c>
      <c r="S44" s="94" t="s">
        <v>1930</v>
      </c>
      <c r="T44" s="93">
        <v>1151524465</v>
      </c>
    </row>
    <row r="45" spans="1:20">
      <c r="A45" s="94" t="s">
        <v>1931</v>
      </c>
      <c r="B45" s="104" t="s">
        <v>1932</v>
      </c>
      <c r="C45" s="104"/>
      <c r="D45" s="104"/>
      <c r="E45" s="104"/>
      <c r="F45" s="104" t="s">
        <v>82</v>
      </c>
      <c r="G45" s="105" t="s">
        <v>48</v>
      </c>
      <c r="H45" s="104" t="s">
        <v>82</v>
      </c>
      <c r="I45" s="94">
        <v>39344524</v>
      </c>
      <c r="J45" s="104" t="s">
        <v>83</v>
      </c>
      <c r="K45" s="104" t="s">
        <v>82</v>
      </c>
      <c r="L45" s="104">
        <v>39344524</v>
      </c>
      <c r="M45" s="104" t="s">
        <v>84</v>
      </c>
      <c r="N45" s="104" t="s">
        <v>26</v>
      </c>
      <c r="O45" s="104" t="s">
        <v>85</v>
      </c>
      <c r="P45" s="105">
        <v>2015</v>
      </c>
      <c r="Q45" s="106">
        <v>42026</v>
      </c>
      <c r="R45" s="104" t="s">
        <v>22</v>
      </c>
      <c r="S45" s="104" t="s">
        <v>1933</v>
      </c>
      <c r="T45" s="93">
        <v>1162397475</v>
      </c>
    </row>
    <row r="46" spans="1:20">
      <c r="A46" s="94" t="s">
        <v>1934</v>
      </c>
      <c r="B46" s="94" t="s">
        <v>1935</v>
      </c>
      <c r="C46" s="94"/>
      <c r="D46" s="94"/>
      <c r="E46" s="94"/>
      <c r="F46" s="94" t="s">
        <v>91</v>
      </c>
      <c r="G46" s="93" t="s">
        <v>48</v>
      </c>
      <c r="H46" s="94" t="s">
        <v>91</v>
      </c>
      <c r="I46" s="94">
        <v>95731837</v>
      </c>
      <c r="J46" s="94" t="s">
        <v>92</v>
      </c>
      <c r="K46" s="94" t="s">
        <v>91</v>
      </c>
      <c r="L46" s="94">
        <v>95731837</v>
      </c>
      <c r="M46" s="94" t="s">
        <v>93</v>
      </c>
      <c r="N46" s="94" t="s">
        <v>12</v>
      </c>
      <c r="O46" s="104" t="s">
        <v>94</v>
      </c>
      <c r="P46" s="93">
        <v>2014</v>
      </c>
      <c r="Q46" s="103">
        <v>41789</v>
      </c>
      <c r="R46" s="93" t="s">
        <v>22</v>
      </c>
      <c r="S46" s="93" t="s">
        <v>1936</v>
      </c>
      <c r="T46" s="93">
        <v>1151506260</v>
      </c>
    </row>
    <row r="47" spans="1:20">
      <c r="A47" s="94" t="s">
        <v>1937</v>
      </c>
      <c r="B47" s="94" t="s">
        <v>1938</v>
      </c>
      <c r="C47" s="94"/>
      <c r="D47" s="94"/>
      <c r="E47" s="94"/>
      <c r="F47" s="94" t="s">
        <v>444</v>
      </c>
      <c r="G47" s="93" t="s">
        <v>48</v>
      </c>
      <c r="H47" s="99" t="s">
        <v>444</v>
      </c>
      <c r="I47" s="98">
        <v>24976897</v>
      </c>
      <c r="J47" s="94" t="s">
        <v>111</v>
      </c>
      <c r="K47" s="99" t="s">
        <v>444</v>
      </c>
      <c r="L47" s="98">
        <v>24976897</v>
      </c>
      <c r="M47" s="99" t="s">
        <v>112</v>
      </c>
      <c r="N47" s="99" t="s">
        <v>26</v>
      </c>
      <c r="O47" s="94" t="s">
        <v>113</v>
      </c>
      <c r="P47" s="100">
        <v>2014</v>
      </c>
      <c r="Q47" s="97">
        <v>41984</v>
      </c>
      <c r="R47" s="98" t="s">
        <v>22</v>
      </c>
      <c r="S47" s="93" t="s">
        <v>1939</v>
      </c>
      <c r="T47" s="93">
        <v>1131264853</v>
      </c>
    </row>
    <row r="48" spans="1:20">
      <c r="A48" s="94" t="s">
        <v>1940</v>
      </c>
      <c r="B48" s="94" t="s">
        <v>1941</v>
      </c>
      <c r="C48" s="94"/>
      <c r="D48" s="94"/>
      <c r="E48" s="94"/>
      <c r="F48" s="94" t="s">
        <v>1942</v>
      </c>
      <c r="G48" s="93" t="s">
        <v>48</v>
      </c>
      <c r="H48" s="99" t="s">
        <v>114</v>
      </c>
      <c r="I48" s="98">
        <v>21983292</v>
      </c>
      <c r="J48" s="94" t="s">
        <v>115</v>
      </c>
      <c r="K48" s="99" t="s">
        <v>114</v>
      </c>
      <c r="L48" s="98">
        <v>21983292</v>
      </c>
      <c r="M48" s="99" t="s">
        <v>116</v>
      </c>
      <c r="N48" s="99" t="s">
        <v>63</v>
      </c>
      <c r="O48" s="94" t="s">
        <v>117</v>
      </c>
      <c r="P48" s="100">
        <v>2017</v>
      </c>
      <c r="Q48" s="97">
        <v>43031</v>
      </c>
      <c r="R48" s="98" t="s">
        <v>57</v>
      </c>
      <c r="S48" s="93" t="s">
        <v>1943</v>
      </c>
      <c r="T48" s="93">
        <v>1132380232</v>
      </c>
    </row>
    <row r="49" spans="1:20">
      <c r="A49" s="94" t="s">
        <v>1944</v>
      </c>
      <c r="B49" s="94" t="s">
        <v>1945</v>
      </c>
      <c r="C49" s="94"/>
      <c r="D49" s="94"/>
      <c r="E49" s="94"/>
      <c r="F49" s="94" t="s">
        <v>1946</v>
      </c>
      <c r="G49" s="93" t="s">
        <v>48</v>
      </c>
      <c r="H49" s="99" t="s">
        <v>118</v>
      </c>
      <c r="I49" s="98">
        <v>40984523</v>
      </c>
      <c r="J49" s="94" t="s">
        <v>119</v>
      </c>
      <c r="K49" s="99" t="s">
        <v>120</v>
      </c>
      <c r="L49" s="98">
        <v>94809723</v>
      </c>
      <c r="M49" s="99" t="s">
        <v>121</v>
      </c>
      <c r="N49" s="99" t="s">
        <v>12</v>
      </c>
      <c r="O49" s="94" t="s">
        <v>122</v>
      </c>
      <c r="P49" s="100">
        <v>2012</v>
      </c>
      <c r="Q49" s="97">
        <v>40945</v>
      </c>
      <c r="R49" s="98" t="s">
        <v>22</v>
      </c>
      <c r="S49" s="98" t="s">
        <v>1947</v>
      </c>
      <c r="T49" s="93">
        <v>1155235969</v>
      </c>
    </row>
    <row r="50" spans="1:20">
      <c r="A50" s="94" t="s">
        <v>1948</v>
      </c>
      <c r="B50" s="94" t="s">
        <v>1949</v>
      </c>
      <c r="C50" s="94"/>
      <c r="D50" s="94"/>
      <c r="E50" s="94"/>
      <c r="F50" s="94" t="s">
        <v>124</v>
      </c>
      <c r="G50" s="93" t="s">
        <v>48</v>
      </c>
      <c r="H50" s="99" t="s">
        <v>124</v>
      </c>
      <c r="I50" s="98">
        <v>14309192</v>
      </c>
      <c r="J50" s="94" t="s">
        <v>125</v>
      </c>
      <c r="K50" s="99" t="s">
        <v>124</v>
      </c>
      <c r="L50" s="98">
        <v>14309192</v>
      </c>
      <c r="M50" s="99" t="s">
        <v>126</v>
      </c>
      <c r="N50" s="99" t="s">
        <v>63</v>
      </c>
      <c r="O50" s="94" t="s">
        <v>127</v>
      </c>
      <c r="P50" s="100">
        <v>2014</v>
      </c>
      <c r="Q50" s="97">
        <v>41893</v>
      </c>
      <c r="R50" s="98" t="s">
        <v>57</v>
      </c>
      <c r="S50" s="98" t="s">
        <v>1950</v>
      </c>
      <c r="T50" s="93">
        <v>1121924093</v>
      </c>
    </row>
    <row r="51" spans="1:20">
      <c r="A51" s="94" t="s">
        <v>1951</v>
      </c>
      <c r="B51" s="94" t="s">
        <v>1952</v>
      </c>
      <c r="C51" s="94"/>
      <c r="D51" s="94"/>
      <c r="E51" s="94"/>
      <c r="F51" s="94" t="s">
        <v>128</v>
      </c>
      <c r="G51" s="93" t="s">
        <v>48</v>
      </c>
      <c r="H51" s="99" t="s">
        <v>128</v>
      </c>
      <c r="I51" s="98">
        <v>31720998</v>
      </c>
      <c r="J51" s="94" t="s">
        <v>129</v>
      </c>
      <c r="K51" s="99" t="s">
        <v>128</v>
      </c>
      <c r="L51" s="98">
        <v>31720998</v>
      </c>
      <c r="M51" s="99" t="s">
        <v>130</v>
      </c>
      <c r="N51" s="99" t="s">
        <v>26</v>
      </c>
      <c r="O51" s="94" t="s">
        <v>131</v>
      </c>
      <c r="P51" s="100">
        <v>2016</v>
      </c>
      <c r="Q51" s="97"/>
      <c r="R51" s="98" t="s">
        <v>22</v>
      </c>
      <c r="S51" s="98" t="s">
        <v>1953</v>
      </c>
      <c r="T51" s="93">
        <v>1166540927</v>
      </c>
    </row>
    <row r="52" spans="1:20">
      <c r="A52" s="94" t="s">
        <v>1954</v>
      </c>
      <c r="B52" s="94" t="s">
        <v>1955</v>
      </c>
      <c r="C52" s="94"/>
      <c r="D52" s="94"/>
      <c r="E52" s="94"/>
      <c r="F52" s="94" t="s">
        <v>1956</v>
      </c>
      <c r="G52" s="93" t="s">
        <v>48</v>
      </c>
      <c r="H52" s="99" t="s">
        <v>132</v>
      </c>
      <c r="I52" s="98">
        <v>36555662</v>
      </c>
      <c r="J52" s="94" t="s">
        <v>133</v>
      </c>
      <c r="K52" s="99" t="s">
        <v>134</v>
      </c>
      <c r="L52" s="98">
        <v>94972219</v>
      </c>
      <c r="M52" s="99" t="s">
        <v>135</v>
      </c>
      <c r="N52" s="99" t="s">
        <v>26</v>
      </c>
      <c r="O52" s="94" t="s">
        <v>136</v>
      </c>
      <c r="P52" s="100">
        <v>2016</v>
      </c>
      <c r="Q52" s="99">
        <v>2016</v>
      </c>
      <c r="R52" s="98" t="s">
        <v>22</v>
      </c>
      <c r="S52" s="98" t="s">
        <v>1957</v>
      </c>
      <c r="T52" s="93">
        <v>1134968759</v>
      </c>
    </row>
    <row r="53" spans="1:20">
      <c r="A53" s="94" t="s">
        <v>1958</v>
      </c>
      <c r="B53" s="94" t="s">
        <v>1959</v>
      </c>
      <c r="C53" s="94"/>
      <c r="D53" s="94"/>
      <c r="E53" s="94"/>
      <c r="F53" s="94" t="s">
        <v>1960</v>
      </c>
      <c r="G53" s="93" t="s">
        <v>48</v>
      </c>
      <c r="H53" s="99" t="s">
        <v>137</v>
      </c>
      <c r="I53" s="98">
        <v>10082527</v>
      </c>
      <c r="J53" s="94" t="s">
        <v>138</v>
      </c>
      <c r="K53" s="99" t="s">
        <v>137</v>
      </c>
      <c r="L53" s="98">
        <v>10082527</v>
      </c>
      <c r="M53" s="99" t="s">
        <v>139</v>
      </c>
      <c r="N53" s="99" t="s">
        <v>140</v>
      </c>
      <c r="O53" s="94" t="s">
        <v>141</v>
      </c>
      <c r="P53" s="8">
        <v>2011</v>
      </c>
      <c r="Q53" s="9">
        <v>41095</v>
      </c>
      <c r="R53" s="98" t="s">
        <v>22</v>
      </c>
      <c r="S53" s="98"/>
      <c r="T53" s="93"/>
    </row>
    <row r="54" spans="1:20">
      <c r="A54" s="94" t="s">
        <v>1961</v>
      </c>
      <c r="B54" s="94" t="s">
        <v>1962</v>
      </c>
      <c r="C54" s="94"/>
      <c r="D54" s="94"/>
      <c r="E54" s="94"/>
      <c r="F54" s="94" t="s">
        <v>1963</v>
      </c>
      <c r="G54" s="93" t="s">
        <v>48</v>
      </c>
      <c r="H54" s="99" t="s">
        <v>142</v>
      </c>
      <c r="I54" s="98">
        <v>32392886</v>
      </c>
      <c r="J54" s="94" t="s">
        <v>143</v>
      </c>
      <c r="K54" s="99" t="s">
        <v>142</v>
      </c>
      <c r="L54" s="98">
        <v>32392886</v>
      </c>
      <c r="M54" s="99" t="s">
        <v>144</v>
      </c>
      <c r="N54" s="99" t="s">
        <v>20</v>
      </c>
      <c r="O54" s="94" t="s">
        <v>145</v>
      </c>
      <c r="P54" s="100">
        <v>2016</v>
      </c>
      <c r="Q54" s="97">
        <v>42450</v>
      </c>
      <c r="R54" s="98" t="s">
        <v>22</v>
      </c>
      <c r="S54" s="98"/>
      <c r="T54" s="93"/>
    </row>
    <row r="55" spans="1:20">
      <c r="A55" s="94" t="s">
        <v>1964</v>
      </c>
      <c r="B55" s="94" t="s">
        <v>1965</v>
      </c>
      <c r="C55" s="94"/>
      <c r="D55" s="94"/>
      <c r="E55" s="94"/>
      <c r="F55" s="94" t="s">
        <v>1966</v>
      </c>
      <c r="G55" s="93" t="s">
        <v>48</v>
      </c>
      <c r="H55" s="99" t="s">
        <v>146</v>
      </c>
      <c r="I55" s="98">
        <v>16975742</v>
      </c>
      <c r="J55" s="94" t="s">
        <v>147</v>
      </c>
      <c r="K55" s="99" t="s">
        <v>148</v>
      </c>
      <c r="L55" s="98">
        <v>28963296</v>
      </c>
      <c r="M55" s="99" t="s">
        <v>149</v>
      </c>
      <c r="N55" s="99" t="s">
        <v>26</v>
      </c>
      <c r="O55" s="94" t="s">
        <v>150</v>
      </c>
      <c r="P55" s="100">
        <v>2019</v>
      </c>
      <c r="Q55" s="97">
        <v>43728</v>
      </c>
      <c r="R55" s="98" t="s">
        <v>57</v>
      </c>
      <c r="S55" s="98"/>
      <c r="T55" s="93"/>
    </row>
    <row r="56" spans="1:20">
      <c r="A56" s="94" t="s">
        <v>1967</v>
      </c>
      <c r="B56" s="94" t="s">
        <v>1968</v>
      </c>
      <c r="C56" s="94"/>
      <c r="D56" s="94"/>
      <c r="E56" s="94"/>
      <c r="F56" s="94" t="s">
        <v>1969</v>
      </c>
      <c r="G56" s="93" t="s">
        <v>48</v>
      </c>
      <c r="H56" s="99" t="s">
        <v>152</v>
      </c>
      <c r="I56" s="98">
        <v>28985481</v>
      </c>
      <c r="J56" s="94" t="s">
        <v>153</v>
      </c>
      <c r="K56" s="99" t="s">
        <v>152</v>
      </c>
      <c r="L56" s="98">
        <v>28985481</v>
      </c>
      <c r="M56" s="99" t="s">
        <v>154</v>
      </c>
      <c r="N56" s="99" t="s">
        <v>20</v>
      </c>
      <c r="O56" s="94" t="s">
        <v>155</v>
      </c>
      <c r="P56" s="100">
        <v>2011</v>
      </c>
      <c r="Q56" s="97">
        <v>40637</v>
      </c>
      <c r="R56" s="98" t="s">
        <v>22</v>
      </c>
      <c r="S56" s="98"/>
      <c r="T56" s="93"/>
    </row>
    <row r="57" spans="1:20">
      <c r="A57" s="94" t="s">
        <v>1970</v>
      </c>
      <c r="B57" s="94" t="s">
        <v>1971</v>
      </c>
      <c r="C57" s="94"/>
      <c r="D57" s="94"/>
      <c r="E57" s="94"/>
      <c r="F57" s="94" t="s">
        <v>1972</v>
      </c>
      <c r="G57" s="93" t="s">
        <v>48</v>
      </c>
      <c r="H57" s="99" t="s">
        <v>156</v>
      </c>
      <c r="I57" s="98">
        <v>92684470</v>
      </c>
      <c r="J57" s="94" t="s">
        <v>157</v>
      </c>
      <c r="K57" s="99" t="s">
        <v>156</v>
      </c>
      <c r="L57" s="98">
        <v>92684470</v>
      </c>
      <c r="M57" s="99" t="s">
        <v>158</v>
      </c>
      <c r="N57" s="98" t="s">
        <v>63</v>
      </c>
      <c r="O57" s="94" t="s">
        <v>159</v>
      </c>
      <c r="P57" s="100">
        <v>2012</v>
      </c>
      <c r="Q57" s="97">
        <v>40989</v>
      </c>
      <c r="R57" s="98" t="s">
        <v>57</v>
      </c>
      <c r="S57" s="98"/>
      <c r="T57" s="93"/>
    </row>
    <row r="58" spans="1:20">
      <c r="A58" s="7" t="s">
        <v>480</v>
      </c>
      <c r="B58" s="102" t="s">
        <v>1973</v>
      </c>
      <c r="C58" s="7"/>
      <c r="D58" s="7"/>
      <c r="E58" s="7"/>
      <c r="F58" s="94" t="s">
        <v>301</v>
      </c>
      <c r="G58" s="8" t="s">
        <v>48</v>
      </c>
      <c r="H58" s="94" t="s">
        <v>301</v>
      </c>
      <c r="I58" s="94">
        <v>92684470</v>
      </c>
      <c r="J58" s="94" t="s">
        <v>1974</v>
      </c>
      <c r="K58" s="94" t="s">
        <v>301</v>
      </c>
      <c r="L58" s="94">
        <v>92684470</v>
      </c>
      <c r="M58" s="7" t="s">
        <v>302</v>
      </c>
      <c r="N58" s="7" t="s">
        <v>26</v>
      </c>
      <c r="O58" s="94" t="s">
        <v>303</v>
      </c>
      <c r="P58" s="8">
        <v>2022</v>
      </c>
      <c r="Q58" s="9">
        <v>44862</v>
      </c>
      <c r="R58" s="7" t="s">
        <v>22</v>
      </c>
      <c r="S58" s="7" t="s">
        <v>1975</v>
      </c>
      <c r="T58" s="93">
        <v>1155659912</v>
      </c>
    </row>
    <row r="59" spans="1:20">
      <c r="A59" s="94" t="s">
        <v>1976</v>
      </c>
      <c r="B59" s="102" t="s">
        <v>1977</v>
      </c>
      <c r="C59" s="102"/>
      <c r="D59" s="102"/>
      <c r="E59" s="102"/>
      <c r="F59" s="94" t="s">
        <v>1978</v>
      </c>
      <c r="G59" s="93" t="s">
        <v>48</v>
      </c>
      <c r="H59" s="94" t="s">
        <v>164</v>
      </c>
      <c r="I59" s="94">
        <v>30751759</v>
      </c>
      <c r="J59" s="94" t="s">
        <v>165</v>
      </c>
      <c r="K59" s="94" t="s">
        <v>164</v>
      </c>
      <c r="L59" s="94">
        <v>30751759</v>
      </c>
      <c r="M59" s="93" t="s">
        <v>166</v>
      </c>
      <c r="N59" s="94" t="s">
        <v>26</v>
      </c>
      <c r="O59" s="94" t="s">
        <v>167</v>
      </c>
      <c r="P59" s="93">
        <v>2018</v>
      </c>
      <c r="Q59" s="93"/>
      <c r="R59" s="94" t="s">
        <v>22</v>
      </c>
      <c r="S59" s="94"/>
      <c r="T59" s="93"/>
    </row>
    <row r="60" spans="1:20">
      <c r="A60" s="94" t="s">
        <v>1979</v>
      </c>
      <c r="B60" s="102" t="s">
        <v>1980</v>
      </c>
      <c r="C60" s="102"/>
      <c r="D60" s="102"/>
      <c r="E60" s="102"/>
      <c r="F60" s="94" t="s">
        <v>1981</v>
      </c>
      <c r="G60" s="93" t="s">
        <v>48</v>
      </c>
      <c r="H60" s="94" t="s">
        <v>168</v>
      </c>
      <c r="I60" s="94">
        <v>17833784</v>
      </c>
      <c r="J60" s="94" t="s">
        <v>169</v>
      </c>
      <c r="K60" s="94" t="s">
        <v>170</v>
      </c>
      <c r="L60" s="94">
        <v>16485850</v>
      </c>
      <c r="M60" s="94" t="s">
        <v>171</v>
      </c>
      <c r="N60" s="94" t="s">
        <v>26</v>
      </c>
      <c r="O60" s="94" t="s">
        <v>27</v>
      </c>
      <c r="P60" s="93">
        <v>2022</v>
      </c>
      <c r="Q60" s="97">
        <v>44692</v>
      </c>
      <c r="R60" s="94" t="s">
        <v>22</v>
      </c>
      <c r="S60" s="94"/>
      <c r="T60" s="93"/>
    </row>
    <row r="61" spans="1:20">
      <c r="A61" s="94" t="s">
        <v>1982</v>
      </c>
      <c r="B61" s="102" t="s">
        <v>1983</v>
      </c>
      <c r="C61" s="102"/>
      <c r="D61" s="102"/>
      <c r="E61" s="102"/>
      <c r="F61" s="94" t="s">
        <v>172</v>
      </c>
      <c r="G61" s="93" t="s">
        <v>48</v>
      </c>
      <c r="H61" s="94" t="s">
        <v>172</v>
      </c>
      <c r="I61" s="94">
        <v>93705912</v>
      </c>
      <c r="J61" s="94" t="s">
        <v>173</v>
      </c>
      <c r="K61" s="94" t="s">
        <v>172</v>
      </c>
      <c r="L61" s="94">
        <v>93705912</v>
      </c>
      <c r="M61" s="94" t="s">
        <v>174</v>
      </c>
      <c r="N61" s="94" t="s">
        <v>20</v>
      </c>
      <c r="O61" s="7" t="s">
        <v>175</v>
      </c>
      <c r="P61" s="93">
        <v>2012</v>
      </c>
      <c r="Q61" s="97">
        <v>41095</v>
      </c>
      <c r="R61" s="94" t="s">
        <v>22</v>
      </c>
      <c r="S61" s="94" t="s">
        <v>1984</v>
      </c>
      <c r="T61" s="93">
        <v>1144782380</v>
      </c>
    </row>
    <row r="62" spans="1:20">
      <c r="A62" s="94" t="s">
        <v>1985</v>
      </c>
      <c r="B62" s="102" t="s">
        <v>1986</v>
      </c>
      <c r="C62" s="102"/>
      <c r="D62" s="102"/>
      <c r="E62" s="102"/>
      <c r="F62" s="94" t="s">
        <v>1987</v>
      </c>
      <c r="G62" s="93" t="s">
        <v>48</v>
      </c>
      <c r="H62" s="94" t="s">
        <v>176</v>
      </c>
      <c r="I62" s="94">
        <v>14004628</v>
      </c>
      <c r="J62" s="94" t="s">
        <v>177</v>
      </c>
      <c r="K62" s="94" t="s">
        <v>176</v>
      </c>
      <c r="L62" s="94">
        <v>14004628</v>
      </c>
      <c r="M62" s="94" t="s">
        <v>178</v>
      </c>
      <c r="N62" s="94" t="s">
        <v>12</v>
      </c>
      <c r="O62" s="94" t="s">
        <v>179</v>
      </c>
      <c r="P62" s="93">
        <v>2020</v>
      </c>
      <c r="Q62" s="97">
        <v>44714</v>
      </c>
      <c r="R62" s="94" t="s">
        <v>57</v>
      </c>
      <c r="S62" s="94"/>
      <c r="T62" s="93"/>
    </row>
    <row r="63" spans="1:20">
      <c r="A63" s="94" t="s">
        <v>1988</v>
      </c>
      <c r="B63" s="102" t="s">
        <v>1989</v>
      </c>
      <c r="C63" s="102"/>
      <c r="D63" s="102"/>
      <c r="E63" s="102"/>
      <c r="F63" s="94" t="s">
        <v>1990</v>
      </c>
      <c r="G63" s="93" t="s">
        <v>48</v>
      </c>
      <c r="H63" s="94" t="s">
        <v>180</v>
      </c>
      <c r="I63" s="94">
        <v>17428007</v>
      </c>
      <c r="J63" s="94" t="s">
        <v>181</v>
      </c>
      <c r="K63" s="94" t="s">
        <v>180</v>
      </c>
      <c r="L63" s="94">
        <v>17428007</v>
      </c>
      <c r="M63" s="94" t="s">
        <v>182</v>
      </c>
      <c r="N63" s="94" t="s">
        <v>12</v>
      </c>
      <c r="O63" s="94" t="s">
        <v>183</v>
      </c>
      <c r="P63" s="93">
        <v>2018</v>
      </c>
      <c r="Q63" s="97">
        <v>43439</v>
      </c>
      <c r="R63" s="94" t="s">
        <v>57</v>
      </c>
      <c r="S63" s="94"/>
      <c r="T63" s="93"/>
    </row>
    <row r="64" spans="1:20">
      <c r="A64" s="94" t="s">
        <v>1991</v>
      </c>
      <c r="B64" s="102" t="s">
        <v>1992</v>
      </c>
      <c r="C64" s="102"/>
      <c r="D64" s="102"/>
      <c r="E64" s="102"/>
      <c r="F64" s="94" t="s">
        <v>184</v>
      </c>
      <c r="G64" s="93" t="s">
        <v>48</v>
      </c>
      <c r="H64" s="94" t="s">
        <v>184</v>
      </c>
      <c r="I64" s="94">
        <v>40919895</v>
      </c>
      <c r="J64" s="94" t="s">
        <v>185</v>
      </c>
      <c r="K64" s="94" t="s">
        <v>186</v>
      </c>
      <c r="L64" s="94">
        <v>34964345</v>
      </c>
      <c r="M64" s="94" t="s">
        <v>187</v>
      </c>
      <c r="N64" s="94" t="s">
        <v>26</v>
      </c>
      <c r="O64" s="94" t="s">
        <v>27</v>
      </c>
      <c r="P64" s="93">
        <v>2022</v>
      </c>
      <c r="Q64" s="97">
        <v>44734</v>
      </c>
      <c r="R64" s="94" t="s">
        <v>22</v>
      </c>
      <c r="S64" s="94" t="s">
        <v>1993</v>
      </c>
      <c r="T64" s="93">
        <v>1131127443</v>
      </c>
    </row>
    <row r="65" spans="1:20">
      <c r="A65" s="94" t="s">
        <v>1994</v>
      </c>
      <c r="B65" s="102" t="s">
        <v>1995</v>
      </c>
      <c r="C65" s="7"/>
      <c r="D65" s="7"/>
      <c r="E65" s="7"/>
      <c r="F65" s="94" t="s">
        <v>188</v>
      </c>
      <c r="G65" s="93" t="s">
        <v>48</v>
      </c>
      <c r="H65" s="94" t="s">
        <v>188</v>
      </c>
      <c r="I65" s="94">
        <v>95813107</v>
      </c>
      <c r="J65" s="94" t="s">
        <v>189</v>
      </c>
      <c r="K65" s="94" t="s">
        <v>188</v>
      </c>
      <c r="L65" s="94">
        <v>95813107</v>
      </c>
      <c r="M65" s="94" t="s">
        <v>190</v>
      </c>
      <c r="N65" s="94" t="s">
        <v>20</v>
      </c>
      <c r="O65" s="94" t="s">
        <v>191</v>
      </c>
      <c r="P65" s="8">
        <v>2012</v>
      </c>
      <c r="Q65" s="97">
        <v>41113</v>
      </c>
      <c r="R65" s="94" t="s">
        <v>22</v>
      </c>
      <c r="S65" s="94" t="s">
        <v>1996</v>
      </c>
      <c r="T65" s="93">
        <v>1126776258</v>
      </c>
    </row>
    <row r="66" spans="1:20">
      <c r="A66" s="94" t="s">
        <v>1997</v>
      </c>
      <c r="B66" s="102" t="s">
        <v>1998</v>
      </c>
      <c r="C66" s="7"/>
      <c r="D66" s="7"/>
      <c r="E66" s="7"/>
      <c r="F66" s="94" t="s">
        <v>192</v>
      </c>
      <c r="G66" s="93" t="s">
        <v>48</v>
      </c>
      <c r="H66" s="94" t="s">
        <v>192</v>
      </c>
      <c r="I66" s="94">
        <v>95942901</v>
      </c>
      <c r="J66" s="94" t="s">
        <v>193</v>
      </c>
      <c r="K66" s="94" t="s">
        <v>192</v>
      </c>
      <c r="L66" s="94">
        <v>95942901</v>
      </c>
      <c r="M66" s="94" t="s">
        <v>194</v>
      </c>
      <c r="N66" s="94" t="s">
        <v>12</v>
      </c>
      <c r="O66" s="94" t="s">
        <v>61</v>
      </c>
      <c r="P66" s="8">
        <v>2021</v>
      </c>
      <c r="Q66" s="97">
        <v>44362</v>
      </c>
      <c r="R66" s="94" t="s">
        <v>22</v>
      </c>
      <c r="S66" s="94" t="s">
        <v>1999</v>
      </c>
      <c r="T66" s="93">
        <v>1127798604</v>
      </c>
    </row>
    <row r="67" spans="1:20">
      <c r="A67" s="7" t="s">
        <v>2000</v>
      </c>
      <c r="B67" s="102" t="s">
        <v>2001</v>
      </c>
      <c r="C67" s="7"/>
      <c r="D67" s="7"/>
      <c r="E67" s="7"/>
      <c r="F67" s="94" t="s">
        <v>200</v>
      </c>
      <c r="G67" s="8" t="s">
        <v>48</v>
      </c>
      <c r="H67" s="94" t="s">
        <v>200</v>
      </c>
      <c r="I67" s="94">
        <v>33678325</v>
      </c>
      <c r="J67" s="94" t="s">
        <v>201</v>
      </c>
      <c r="K67" s="94" t="s">
        <v>200</v>
      </c>
      <c r="L67" s="94">
        <v>33678325</v>
      </c>
      <c r="M67" s="94" t="s">
        <v>202</v>
      </c>
      <c r="N67" s="94" t="s">
        <v>203</v>
      </c>
      <c r="O67" s="94" t="s">
        <v>204</v>
      </c>
      <c r="P67" s="8">
        <v>2017</v>
      </c>
      <c r="Q67" s="97">
        <v>43049</v>
      </c>
      <c r="R67" s="94" t="s">
        <v>22</v>
      </c>
      <c r="S67" s="94" t="s">
        <v>2002</v>
      </c>
      <c r="T67" s="93">
        <v>1138553493</v>
      </c>
    </row>
    <row r="68" spans="1:20">
      <c r="A68" s="7" t="s">
        <v>2003</v>
      </c>
      <c r="B68" s="102" t="s">
        <v>2004</v>
      </c>
      <c r="C68" s="7"/>
      <c r="D68" s="7"/>
      <c r="E68" s="7"/>
      <c r="F68" s="94" t="s">
        <v>205</v>
      </c>
      <c r="G68" s="8" t="s">
        <v>48</v>
      </c>
      <c r="H68" s="94" t="s">
        <v>205</v>
      </c>
      <c r="I68" s="94">
        <v>33573893</v>
      </c>
      <c r="J68" s="94" t="s">
        <v>206</v>
      </c>
      <c r="K68" s="94" t="s">
        <v>205</v>
      </c>
      <c r="L68" s="94">
        <v>33573893</v>
      </c>
      <c r="M68" s="94" t="s">
        <v>207</v>
      </c>
      <c r="N68" s="94" t="s">
        <v>208</v>
      </c>
      <c r="O68" s="94" t="s">
        <v>209</v>
      </c>
      <c r="P68" s="8">
        <v>2018</v>
      </c>
      <c r="Q68" s="97">
        <v>43244</v>
      </c>
      <c r="R68" s="94" t="s">
        <v>22</v>
      </c>
      <c r="S68" s="94" t="s">
        <v>2005</v>
      </c>
      <c r="T68" s="93">
        <v>1151353350</v>
      </c>
    </row>
    <row r="69" spans="1:20">
      <c r="A69" s="7" t="s">
        <v>2006</v>
      </c>
      <c r="B69" s="102" t="s">
        <v>2007</v>
      </c>
      <c r="C69" s="7"/>
      <c r="D69" s="7"/>
      <c r="E69" s="7"/>
      <c r="F69" s="94" t="s">
        <v>210</v>
      </c>
      <c r="G69" s="8" t="s">
        <v>48</v>
      </c>
      <c r="H69" s="94" t="s">
        <v>210</v>
      </c>
      <c r="I69" s="94">
        <v>96035714</v>
      </c>
      <c r="J69" s="94" t="s">
        <v>211</v>
      </c>
      <c r="K69" s="94" t="s">
        <v>210</v>
      </c>
      <c r="L69" s="94">
        <v>96035714</v>
      </c>
      <c r="M69" s="7" t="s">
        <v>212</v>
      </c>
      <c r="N69" s="94" t="s">
        <v>26</v>
      </c>
      <c r="O69" s="94" t="s">
        <v>47</v>
      </c>
      <c r="P69" s="8">
        <v>2022</v>
      </c>
      <c r="Q69" s="97">
        <v>44686</v>
      </c>
      <c r="R69" s="94" t="s">
        <v>22</v>
      </c>
      <c r="S69" s="7" t="s">
        <v>2008</v>
      </c>
      <c r="T69" s="93">
        <v>1124099337</v>
      </c>
    </row>
    <row r="70" spans="1:20">
      <c r="A70" s="7" t="s">
        <v>2009</v>
      </c>
      <c r="B70" s="102" t="s">
        <v>2010</v>
      </c>
      <c r="C70" s="7"/>
      <c r="D70" s="7"/>
      <c r="E70" s="7"/>
      <c r="F70" s="94" t="s">
        <v>213</v>
      </c>
      <c r="G70" s="8" t="s">
        <v>48</v>
      </c>
      <c r="H70" s="94" t="s">
        <v>213</v>
      </c>
      <c r="I70" s="94">
        <v>33446082</v>
      </c>
      <c r="J70" s="94" t="s">
        <v>214</v>
      </c>
      <c r="K70" s="94" t="s">
        <v>215</v>
      </c>
      <c r="L70" s="94">
        <v>17232636</v>
      </c>
      <c r="M70" s="7" t="s">
        <v>216</v>
      </c>
      <c r="N70" s="94" t="s">
        <v>26</v>
      </c>
      <c r="O70" s="94" t="s">
        <v>217</v>
      </c>
      <c r="P70" s="8">
        <v>2015</v>
      </c>
      <c r="Q70" s="97">
        <v>42135</v>
      </c>
      <c r="R70" s="94" t="s">
        <v>22</v>
      </c>
      <c r="S70" s="7" t="s">
        <v>2011</v>
      </c>
      <c r="T70" s="93">
        <v>1133715435</v>
      </c>
    </row>
    <row r="71" spans="1:20">
      <c r="A71" s="7" t="s">
        <v>2012</v>
      </c>
      <c r="B71" s="102" t="s">
        <v>2013</v>
      </c>
      <c r="C71" s="7"/>
      <c r="D71" s="7"/>
      <c r="E71" s="7"/>
      <c r="F71" s="94" t="s">
        <v>218</v>
      </c>
      <c r="G71" s="8" t="s">
        <v>48</v>
      </c>
      <c r="H71" s="94" t="s">
        <v>218</v>
      </c>
      <c r="I71" s="94">
        <v>18101850</v>
      </c>
      <c r="J71" s="94" t="s">
        <v>219</v>
      </c>
      <c r="K71" s="94" t="s">
        <v>218</v>
      </c>
      <c r="L71" s="94">
        <v>18101850</v>
      </c>
      <c r="M71" s="7" t="s">
        <v>220</v>
      </c>
      <c r="N71" s="94" t="s">
        <v>63</v>
      </c>
      <c r="O71" s="94" t="s">
        <v>221</v>
      </c>
      <c r="P71" s="8">
        <v>2014</v>
      </c>
      <c r="Q71" s="97">
        <v>41827</v>
      </c>
      <c r="R71" s="94" t="s">
        <v>57</v>
      </c>
      <c r="S71" s="7" t="s">
        <v>2014</v>
      </c>
      <c r="T71" s="93">
        <v>1154741245</v>
      </c>
    </row>
    <row r="72" spans="1:20">
      <c r="A72" s="7" t="s">
        <v>2015</v>
      </c>
      <c r="B72" s="102" t="s">
        <v>2016</v>
      </c>
      <c r="C72" s="7"/>
      <c r="D72" s="7"/>
      <c r="E72" s="7"/>
      <c r="F72" s="94" t="s">
        <v>222</v>
      </c>
      <c r="G72" s="8" t="s">
        <v>48</v>
      </c>
      <c r="H72" s="94" t="s">
        <v>222</v>
      </c>
      <c r="I72" s="94">
        <v>26767431</v>
      </c>
      <c r="J72" s="94" t="s">
        <v>223</v>
      </c>
      <c r="K72" s="94" t="s">
        <v>224</v>
      </c>
      <c r="L72" s="94">
        <v>28461288</v>
      </c>
      <c r="M72" s="7" t="s">
        <v>225</v>
      </c>
      <c r="N72" s="94" t="s">
        <v>12</v>
      </c>
      <c r="O72" s="94" t="s">
        <v>226</v>
      </c>
      <c r="P72" s="8">
        <v>2021</v>
      </c>
      <c r="Q72" s="107">
        <v>44350</v>
      </c>
      <c r="R72" s="94" t="s">
        <v>57</v>
      </c>
      <c r="S72" s="7" t="s">
        <v>2017</v>
      </c>
      <c r="T72" s="93">
        <v>1150484890</v>
      </c>
    </row>
    <row r="73" spans="1:20">
      <c r="A73" s="7" t="s">
        <v>2018</v>
      </c>
      <c r="B73" s="102" t="s">
        <v>2019</v>
      </c>
      <c r="C73" s="7"/>
      <c r="D73" s="7"/>
      <c r="E73" s="7"/>
      <c r="F73" s="94" t="s">
        <v>227</v>
      </c>
      <c r="G73" s="8" t="s">
        <v>48</v>
      </c>
      <c r="H73" s="94" t="s">
        <v>227</v>
      </c>
      <c r="I73" s="94">
        <v>17834329</v>
      </c>
      <c r="J73" s="94" t="s">
        <v>228</v>
      </c>
      <c r="K73" s="94" t="s">
        <v>227</v>
      </c>
      <c r="L73" s="94">
        <v>17834329</v>
      </c>
      <c r="M73" s="7" t="s">
        <v>229</v>
      </c>
      <c r="N73" s="94" t="s">
        <v>20</v>
      </c>
      <c r="O73" s="94" t="s">
        <v>230</v>
      </c>
      <c r="P73" s="8">
        <v>2019</v>
      </c>
      <c r="Q73" s="107">
        <v>43706</v>
      </c>
      <c r="R73" s="94" t="s">
        <v>22</v>
      </c>
      <c r="S73" s="7" t="s">
        <v>2020</v>
      </c>
      <c r="T73" s="93">
        <v>1163918392</v>
      </c>
    </row>
    <row r="74" spans="1:20">
      <c r="A74" s="7" t="s">
        <v>2021</v>
      </c>
      <c r="B74" s="102" t="s">
        <v>2022</v>
      </c>
      <c r="C74" s="7"/>
      <c r="D74" s="7"/>
      <c r="E74" s="7"/>
      <c r="F74" s="94" t="s">
        <v>231</v>
      </c>
      <c r="G74" s="8" t="s">
        <v>48</v>
      </c>
      <c r="H74" s="94" t="s">
        <v>231</v>
      </c>
      <c r="I74" s="94">
        <v>16343536</v>
      </c>
      <c r="J74" s="94" t="s">
        <v>2023</v>
      </c>
      <c r="K74" s="94" t="s">
        <v>231</v>
      </c>
      <c r="L74" s="94">
        <v>16343536</v>
      </c>
      <c r="M74" s="7" t="s">
        <v>232</v>
      </c>
      <c r="N74" s="7" t="s">
        <v>67</v>
      </c>
      <c r="O74" s="94" t="s">
        <v>233</v>
      </c>
      <c r="P74" s="8">
        <v>2020</v>
      </c>
      <c r="Q74" s="84">
        <v>43889</v>
      </c>
      <c r="R74" s="7" t="s">
        <v>22</v>
      </c>
      <c r="S74" s="7" t="s">
        <v>2024</v>
      </c>
      <c r="T74" s="93">
        <v>1165229074</v>
      </c>
    </row>
    <row r="75" spans="1:20">
      <c r="A75" s="7" t="s">
        <v>2025</v>
      </c>
      <c r="B75" s="102" t="s">
        <v>2026</v>
      </c>
      <c r="C75" s="7"/>
      <c r="D75" s="7"/>
      <c r="E75" s="7"/>
      <c r="F75" s="94" t="s">
        <v>234</v>
      </c>
      <c r="G75" s="8" t="s">
        <v>48</v>
      </c>
      <c r="H75" s="94" t="s">
        <v>234</v>
      </c>
      <c r="I75" s="94">
        <v>11017915</v>
      </c>
      <c r="J75" s="94" t="s">
        <v>235</v>
      </c>
      <c r="K75" s="94" t="s">
        <v>234</v>
      </c>
      <c r="L75" s="94">
        <v>11017915</v>
      </c>
      <c r="M75" s="7" t="s">
        <v>236</v>
      </c>
      <c r="N75" s="94" t="s">
        <v>20</v>
      </c>
      <c r="O75" s="94" t="s">
        <v>237</v>
      </c>
      <c r="P75" s="8">
        <v>2020</v>
      </c>
      <c r="Q75" s="97">
        <v>43901</v>
      </c>
      <c r="R75" s="94" t="s">
        <v>22</v>
      </c>
      <c r="S75" s="7" t="s">
        <v>2027</v>
      </c>
      <c r="T75" s="93">
        <v>1131718210</v>
      </c>
    </row>
    <row r="76" spans="1:20">
      <c r="A76" s="7" t="s">
        <v>2028</v>
      </c>
      <c r="B76" s="102" t="s">
        <v>2029</v>
      </c>
      <c r="C76" s="7"/>
      <c r="D76" s="7"/>
      <c r="E76" s="7"/>
      <c r="F76" s="94" t="s">
        <v>238</v>
      </c>
      <c r="G76" s="8" t="s">
        <v>48</v>
      </c>
      <c r="H76" s="94" t="s">
        <v>238</v>
      </c>
      <c r="I76" s="94">
        <v>39982365</v>
      </c>
      <c r="J76" s="94" t="s">
        <v>239</v>
      </c>
      <c r="K76" s="94" t="s">
        <v>238</v>
      </c>
      <c r="L76" s="94">
        <v>39982365</v>
      </c>
      <c r="M76" s="7" t="s">
        <v>240</v>
      </c>
      <c r="N76" s="94" t="s">
        <v>26</v>
      </c>
      <c r="O76" s="94" t="s">
        <v>241</v>
      </c>
      <c r="P76" s="8">
        <v>2015</v>
      </c>
      <c r="Q76" s="97">
        <v>42173</v>
      </c>
      <c r="R76" s="94" t="s">
        <v>57</v>
      </c>
      <c r="S76" s="7" t="s">
        <v>2030</v>
      </c>
      <c r="T76" s="93">
        <v>1169832585</v>
      </c>
    </row>
    <row r="77" spans="1:20">
      <c r="A77" s="101" t="s">
        <v>2028</v>
      </c>
      <c r="B77" s="102" t="s">
        <v>2031</v>
      </c>
      <c r="C77" s="7"/>
      <c r="D77" s="7"/>
      <c r="E77" s="7"/>
      <c r="F77" s="94" t="s">
        <v>238</v>
      </c>
      <c r="G77" s="8" t="s">
        <v>48</v>
      </c>
      <c r="H77" s="94" t="s">
        <v>238</v>
      </c>
      <c r="I77" s="94">
        <v>39982365</v>
      </c>
      <c r="J77" s="94" t="s">
        <v>239</v>
      </c>
      <c r="K77" s="94" t="s">
        <v>238</v>
      </c>
      <c r="L77" s="94">
        <v>39982365</v>
      </c>
      <c r="M77" s="7" t="s">
        <v>240</v>
      </c>
      <c r="N77" s="14" t="s">
        <v>26</v>
      </c>
      <c r="O77" s="94" t="s">
        <v>241</v>
      </c>
      <c r="P77" s="8">
        <v>2015</v>
      </c>
      <c r="Q77" s="3">
        <v>42173</v>
      </c>
      <c r="R77" s="2" t="s">
        <v>57</v>
      </c>
      <c r="S77" s="7" t="s">
        <v>2032</v>
      </c>
      <c r="T77" s="93">
        <v>1169832585</v>
      </c>
    </row>
    <row r="78" spans="1:20">
      <c r="A78" s="7" t="s">
        <v>2033</v>
      </c>
      <c r="B78" s="102" t="s">
        <v>2034</v>
      </c>
      <c r="C78" s="7"/>
      <c r="D78" s="7"/>
      <c r="E78" s="7"/>
      <c r="F78" s="94" t="s">
        <v>242</v>
      </c>
      <c r="G78" s="8" t="s">
        <v>48</v>
      </c>
      <c r="H78" s="94" t="s">
        <v>242</v>
      </c>
      <c r="I78" s="94">
        <v>95700594</v>
      </c>
      <c r="J78" s="94" t="s">
        <v>2035</v>
      </c>
      <c r="K78" s="94" t="s">
        <v>242</v>
      </c>
      <c r="L78" s="94">
        <v>95700594</v>
      </c>
      <c r="M78" s="7" t="s">
        <v>243</v>
      </c>
      <c r="N78" s="94" t="s">
        <v>12</v>
      </c>
      <c r="O78" s="94" t="s">
        <v>61</v>
      </c>
      <c r="P78" s="8">
        <v>2020</v>
      </c>
      <c r="Q78" s="97">
        <v>44064</v>
      </c>
      <c r="R78" s="94" t="s">
        <v>22</v>
      </c>
      <c r="S78" s="7" t="s">
        <v>2036</v>
      </c>
      <c r="T78" s="93">
        <v>11642522346</v>
      </c>
    </row>
    <row r="79" spans="1:20">
      <c r="A79" s="7" t="s">
        <v>2037</v>
      </c>
      <c r="B79" s="102" t="s">
        <v>2038</v>
      </c>
      <c r="C79" s="7"/>
      <c r="D79" s="7"/>
      <c r="E79" s="7"/>
      <c r="F79" s="94" t="s">
        <v>244</v>
      </c>
      <c r="G79" s="8" t="s">
        <v>48</v>
      </c>
      <c r="H79" s="94" t="s">
        <v>244</v>
      </c>
      <c r="I79" s="94">
        <v>25436596</v>
      </c>
      <c r="J79" s="94" t="s">
        <v>245</v>
      </c>
      <c r="K79" s="94" t="s">
        <v>244</v>
      </c>
      <c r="L79" s="94">
        <v>25436596</v>
      </c>
      <c r="M79" s="7" t="s">
        <v>246</v>
      </c>
      <c r="N79" s="94" t="s">
        <v>12</v>
      </c>
      <c r="O79" s="94" t="s">
        <v>247</v>
      </c>
      <c r="P79" s="8">
        <v>2010</v>
      </c>
      <c r="Q79" s="97">
        <v>40401</v>
      </c>
      <c r="R79" s="94" t="s">
        <v>57</v>
      </c>
      <c r="S79" s="7" t="s">
        <v>2039</v>
      </c>
      <c r="T79" s="93">
        <v>1155270368</v>
      </c>
    </row>
    <row r="80" spans="1:20">
      <c r="A80" s="7" t="s">
        <v>2040</v>
      </c>
      <c r="B80" s="102" t="s">
        <v>2041</v>
      </c>
      <c r="C80" s="7"/>
      <c r="D80" s="7"/>
      <c r="E80" s="7"/>
      <c r="F80" s="94" t="s">
        <v>2042</v>
      </c>
      <c r="G80" s="8" t="s">
        <v>48</v>
      </c>
      <c r="H80" s="94" t="s">
        <v>2042</v>
      </c>
      <c r="I80" s="94">
        <v>17347968</v>
      </c>
      <c r="J80" s="94" t="s">
        <v>2043</v>
      </c>
      <c r="K80" s="94" t="s">
        <v>248</v>
      </c>
      <c r="L80" s="94">
        <v>17981939</v>
      </c>
      <c r="M80" s="7" t="s">
        <v>249</v>
      </c>
      <c r="N80" s="94" t="s">
        <v>203</v>
      </c>
      <c r="O80" s="94" t="s">
        <v>250</v>
      </c>
      <c r="P80" s="8">
        <v>2015</v>
      </c>
      <c r="Q80" s="97">
        <v>42159</v>
      </c>
      <c r="R80" s="94" t="s">
        <v>57</v>
      </c>
      <c r="S80" s="7" t="s">
        <v>2044</v>
      </c>
      <c r="T80" s="93">
        <v>1161755186</v>
      </c>
    </row>
    <row r="81" spans="1:20">
      <c r="A81" s="7" t="s">
        <v>2045</v>
      </c>
      <c r="B81" s="102" t="s">
        <v>2046</v>
      </c>
      <c r="C81" s="7"/>
      <c r="D81" s="7"/>
      <c r="E81" s="7"/>
      <c r="F81" s="94" t="s">
        <v>251</v>
      </c>
      <c r="G81" s="8" t="s">
        <v>48</v>
      </c>
      <c r="H81" s="94" t="s">
        <v>251</v>
      </c>
      <c r="I81" s="94">
        <v>25670410</v>
      </c>
      <c r="J81" s="94" t="s">
        <v>252</v>
      </c>
      <c r="K81" s="94" t="s">
        <v>251</v>
      </c>
      <c r="L81" s="94">
        <v>25670410</v>
      </c>
      <c r="M81" s="7" t="s">
        <v>253</v>
      </c>
      <c r="N81" s="7" t="s">
        <v>108</v>
      </c>
      <c r="O81" s="94" t="s">
        <v>254</v>
      </c>
      <c r="P81" s="8">
        <v>2017</v>
      </c>
      <c r="Q81" s="97">
        <v>43012</v>
      </c>
      <c r="R81" s="94" t="s">
        <v>22</v>
      </c>
      <c r="S81" s="7" t="s">
        <v>2047</v>
      </c>
      <c r="T81" s="93">
        <v>1166754862</v>
      </c>
    </row>
    <row r="82" spans="1:20">
      <c r="A82" s="7" t="s">
        <v>2048</v>
      </c>
      <c r="B82" s="102" t="s">
        <v>2049</v>
      </c>
      <c r="C82" s="7"/>
      <c r="D82" s="7"/>
      <c r="E82" s="7"/>
      <c r="F82" s="94" t="s">
        <v>255</v>
      </c>
      <c r="G82" s="8" t="s">
        <v>48</v>
      </c>
      <c r="H82" s="94" t="s">
        <v>255</v>
      </c>
      <c r="I82" s="94">
        <v>25646132</v>
      </c>
      <c r="J82" s="94" t="s">
        <v>2050</v>
      </c>
      <c r="K82" s="94" t="s">
        <v>256</v>
      </c>
      <c r="L82" s="94">
        <v>25810487</v>
      </c>
      <c r="M82" s="7" t="s">
        <v>257</v>
      </c>
      <c r="N82" s="94" t="s">
        <v>20</v>
      </c>
      <c r="O82" s="94" t="s">
        <v>258</v>
      </c>
      <c r="P82" s="8">
        <v>2016</v>
      </c>
      <c r="Q82" s="107">
        <v>42633</v>
      </c>
      <c r="R82" s="94" t="s">
        <v>22</v>
      </c>
      <c r="S82" s="7" t="s">
        <v>2051</v>
      </c>
      <c r="T82" s="93">
        <v>1160057599</v>
      </c>
    </row>
    <row r="83" spans="1:20">
      <c r="A83" s="7" t="s">
        <v>2052</v>
      </c>
      <c r="B83" s="102" t="s">
        <v>2053</v>
      </c>
      <c r="C83" s="7"/>
      <c r="D83" s="7"/>
      <c r="E83" s="7"/>
      <c r="F83" s="94" t="s">
        <v>259</v>
      </c>
      <c r="G83" s="8" t="s">
        <v>48</v>
      </c>
      <c r="H83" s="94" t="s">
        <v>259</v>
      </c>
      <c r="I83" s="94">
        <v>36595756</v>
      </c>
      <c r="J83" s="94" t="s">
        <v>260</v>
      </c>
      <c r="K83" s="94" t="s">
        <v>259</v>
      </c>
      <c r="L83" s="94">
        <v>36595756</v>
      </c>
      <c r="M83" s="7" t="s">
        <v>261</v>
      </c>
      <c r="N83" s="94" t="s">
        <v>26</v>
      </c>
      <c r="O83" s="94" t="s">
        <v>27</v>
      </c>
      <c r="P83" s="8">
        <v>2022</v>
      </c>
      <c r="Q83" s="10">
        <v>44572</v>
      </c>
      <c r="R83" s="7" t="s">
        <v>22</v>
      </c>
      <c r="S83" s="7" t="s">
        <v>2054</v>
      </c>
      <c r="T83" s="93">
        <v>1168026823</v>
      </c>
    </row>
    <row r="84" spans="1:20">
      <c r="A84" s="7" t="s">
        <v>2055</v>
      </c>
      <c r="B84" s="102" t="s">
        <v>2056</v>
      </c>
      <c r="C84" s="7"/>
      <c r="D84" s="7"/>
      <c r="E84" s="7"/>
      <c r="F84" s="94" t="s">
        <v>2057</v>
      </c>
      <c r="G84" s="8" t="s">
        <v>48</v>
      </c>
      <c r="H84" s="94" t="s">
        <v>2057</v>
      </c>
      <c r="I84" s="94">
        <v>95879652</v>
      </c>
      <c r="J84" s="94" t="s">
        <v>262</v>
      </c>
      <c r="K84" s="94" t="s">
        <v>263</v>
      </c>
      <c r="L84" s="94">
        <v>95872498</v>
      </c>
      <c r="M84" s="7" t="s">
        <v>264</v>
      </c>
      <c r="N84" s="7" t="s">
        <v>20</v>
      </c>
      <c r="O84" s="94" t="s">
        <v>145</v>
      </c>
      <c r="P84" s="8">
        <v>2014</v>
      </c>
      <c r="Q84" s="84">
        <v>41975</v>
      </c>
      <c r="R84" s="7" t="s">
        <v>22</v>
      </c>
      <c r="S84" s="7" t="s">
        <v>2058</v>
      </c>
      <c r="T84" s="93">
        <v>1123900164</v>
      </c>
    </row>
    <row r="85" spans="1:20">
      <c r="A85" s="7" t="s">
        <v>2059</v>
      </c>
      <c r="B85" s="102" t="s">
        <v>2060</v>
      </c>
      <c r="C85" s="7"/>
      <c r="D85" s="7"/>
      <c r="E85" s="7"/>
      <c r="F85" s="94" t="s">
        <v>269</v>
      </c>
      <c r="G85" s="8" t="s">
        <v>48</v>
      </c>
      <c r="H85" s="94" t="s">
        <v>269</v>
      </c>
      <c r="I85" s="94">
        <v>95878151</v>
      </c>
      <c r="J85" s="94" t="s">
        <v>270</v>
      </c>
      <c r="K85" s="94" t="s">
        <v>269</v>
      </c>
      <c r="L85" s="94">
        <v>95878151</v>
      </c>
      <c r="M85" s="7" t="s">
        <v>271</v>
      </c>
      <c r="N85" s="7" t="s">
        <v>20</v>
      </c>
      <c r="O85" s="94" t="s">
        <v>145</v>
      </c>
      <c r="P85" s="8">
        <v>2015</v>
      </c>
      <c r="Q85" s="13">
        <v>42201</v>
      </c>
      <c r="R85" s="11" t="s">
        <v>22</v>
      </c>
      <c r="S85" s="7" t="s">
        <v>2061</v>
      </c>
      <c r="T85" s="93">
        <v>1168522018</v>
      </c>
    </row>
    <row r="86" spans="1:20">
      <c r="A86" s="7" t="s">
        <v>2062</v>
      </c>
      <c r="B86" s="102" t="s">
        <v>2063</v>
      </c>
      <c r="C86" s="7"/>
      <c r="D86" s="7"/>
      <c r="E86" s="7"/>
      <c r="F86" s="94" t="s">
        <v>272</v>
      </c>
      <c r="G86" s="8" t="s">
        <v>48</v>
      </c>
      <c r="H86" s="94" t="s">
        <v>272</v>
      </c>
      <c r="I86" s="94">
        <v>20607817</v>
      </c>
      <c r="J86" s="94" t="s">
        <v>273</v>
      </c>
      <c r="K86" s="94" t="s">
        <v>272</v>
      </c>
      <c r="L86" s="94">
        <v>20607817</v>
      </c>
      <c r="M86" s="7" t="s">
        <v>274</v>
      </c>
      <c r="N86" s="7" t="s">
        <v>26</v>
      </c>
      <c r="O86" s="94" t="s">
        <v>275</v>
      </c>
      <c r="P86" s="8">
        <v>2010</v>
      </c>
      <c r="Q86" s="84">
        <v>40338</v>
      </c>
      <c r="R86" s="12" t="s">
        <v>22</v>
      </c>
      <c r="S86" s="7" t="s">
        <v>2064</v>
      </c>
      <c r="T86" s="93">
        <v>1169974556</v>
      </c>
    </row>
    <row r="87" spans="1:20">
      <c r="A87" s="7" t="s">
        <v>2065</v>
      </c>
      <c r="B87" s="102" t="s">
        <v>2066</v>
      </c>
      <c r="C87" s="7"/>
      <c r="D87" s="7"/>
      <c r="E87" s="7"/>
      <c r="F87" s="94" t="s">
        <v>276</v>
      </c>
      <c r="G87" s="8" t="s">
        <v>48</v>
      </c>
      <c r="H87" s="94" t="s">
        <v>276</v>
      </c>
      <c r="I87" s="94">
        <v>30020483</v>
      </c>
      <c r="J87" s="94" t="s">
        <v>277</v>
      </c>
      <c r="K87" s="94" t="s">
        <v>276</v>
      </c>
      <c r="L87" s="94">
        <v>30020483</v>
      </c>
      <c r="M87" s="7" t="s">
        <v>278</v>
      </c>
      <c r="N87" s="7" t="s">
        <v>12</v>
      </c>
      <c r="O87" s="94" t="s">
        <v>279</v>
      </c>
      <c r="P87" s="8">
        <v>2011</v>
      </c>
      <c r="Q87" s="10">
        <v>40753</v>
      </c>
      <c r="R87" s="7" t="s">
        <v>22</v>
      </c>
      <c r="S87" s="7" t="s">
        <v>2067</v>
      </c>
      <c r="T87" s="93">
        <v>1162067054</v>
      </c>
    </row>
    <row r="88" spans="1:20">
      <c r="A88" s="7" t="s">
        <v>2068</v>
      </c>
      <c r="B88" s="102" t="s">
        <v>2069</v>
      </c>
      <c r="C88" s="7"/>
      <c r="D88" s="7"/>
      <c r="E88" s="7"/>
      <c r="F88" s="94" t="s">
        <v>280</v>
      </c>
      <c r="G88" s="8" t="s">
        <v>48</v>
      </c>
      <c r="H88" s="94" t="s">
        <v>280</v>
      </c>
      <c r="I88" s="94">
        <v>29382221</v>
      </c>
      <c r="J88" s="94" t="s">
        <v>281</v>
      </c>
      <c r="K88" s="94" t="s">
        <v>280</v>
      </c>
      <c r="L88" s="94">
        <v>29382221</v>
      </c>
      <c r="M88" s="7" t="s">
        <v>282</v>
      </c>
      <c r="N88" s="7" t="s">
        <v>203</v>
      </c>
      <c r="O88" s="94" t="s">
        <v>283</v>
      </c>
      <c r="P88" s="8">
        <v>2017</v>
      </c>
      <c r="Q88" s="10">
        <v>42779</v>
      </c>
      <c r="R88" s="7" t="s">
        <v>22</v>
      </c>
      <c r="S88" s="7" t="s">
        <v>2070</v>
      </c>
      <c r="T88" s="93">
        <v>1144275854</v>
      </c>
    </row>
    <row r="89" spans="1:20">
      <c r="A89" s="7" t="s">
        <v>2071</v>
      </c>
      <c r="B89" s="102" t="s">
        <v>2072</v>
      </c>
      <c r="C89" s="7"/>
      <c r="D89" s="7"/>
      <c r="E89" s="7"/>
      <c r="F89" s="94" t="s">
        <v>284</v>
      </c>
      <c r="G89" s="8" t="s">
        <v>48</v>
      </c>
      <c r="H89" s="94" t="s">
        <v>284</v>
      </c>
      <c r="I89" s="94">
        <v>20231371</v>
      </c>
      <c r="J89" s="94" t="s">
        <v>285</v>
      </c>
      <c r="K89" s="94" t="s">
        <v>284</v>
      </c>
      <c r="L89" s="94">
        <v>20231371</v>
      </c>
      <c r="M89" s="7" t="s">
        <v>286</v>
      </c>
      <c r="N89" s="7" t="s">
        <v>26</v>
      </c>
      <c r="O89" s="94" t="s">
        <v>131</v>
      </c>
      <c r="P89" s="8">
        <v>2014</v>
      </c>
      <c r="Q89" s="10">
        <v>41842</v>
      </c>
      <c r="R89" s="7" t="s">
        <v>57</v>
      </c>
      <c r="S89" s="7" t="s">
        <v>2073</v>
      </c>
      <c r="T89" s="93">
        <v>1169595369</v>
      </c>
    </row>
    <row r="90" spans="1:20">
      <c r="A90" s="7" t="s">
        <v>2074</v>
      </c>
      <c r="B90" s="102" t="s">
        <v>2075</v>
      </c>
      <c r="C90" s="7"/>
      <c r="D90" s="7"/>
      <c r="E90" s="7"/>
      <c r="F90" s="94" t="s">
        <v>297</v>
      </c>
      <c r="G90" s="8" t="s">
        <v>48</v>
      </c>
      <c r="H90" s="94" t="s">
        <v>297</v>
      </c>
      <c r="I90" s="94">
        <v>22006930</v>
      </c>
      <c r="J90" s="94" t="s">
        <v>298</v>
      </c>
      <c r="K90" s="94" t="s">
        <v>297</v>
      </c>
      <c r="L90" s="94">
        <v>22006930</v>
      </c>
      <c r="M90" s="7" t="s">
        <v>299</v>
      </c>
      <c r="N90" s="7" t="s">
        <v>26</v>
      </c>
      <c r="O90" s="94" t="s">
        <v>300</v>
      </c>
      <c r="P90" s="8">
        <v>2022</v>
      </c>
      <c r="Q90" s="10">
        <v>44803</v>
      </c>
      <c r="R90" s="7" t="s">
        <v>22</v>
      </c>
      <c r="S90" s="7" t="s">
        <v>2076</v>
      </c>
      <c r="T90" s="93">
        <v>1149453387</v>
      </c>
    </row>
    <row r="91" spans="1:20">
      <c r="A91" s="7" t="s">
        <v>2077</v>
      </c>
      <c r="B91" s="102" t="s">
        <v>2078</v>
      </c>
      <c r="C91" s="7"/>
      <c r="D91" s="7"/>
      <c r="E91" s="7"/>
      <c r="F91" s="94" t="s">
        <v>304</v>
      </c>
      <c r="G91" s="8" t="s">
        <v>48</v>
      </c>
      <c r="H91" s="94" t="s">
        <v>304</v>
      </c>
      <c r="I91" s="94">
        <v>29945667</v>
      </c>
      <c r="J91" s="94" t="s">
        <v>305</v>
      </c>
      <c r="K91" s="94" t="s">
        <v>304</v>
      </c>
      <c r="L91" s="94">
        <v>29945667</v>
      </c>
      <c r="M91" s="7" t="s">
        <v>306</v>
      </c>
      <c r="N91" s="7" t="s">
        <v>12</v>
      </c>
      <c r="O91" s="94" t="s">
        <v>307</v>
      </c>
      <c r="P91" s="8">
        <v>2012</v>
      </c>
      <c r="Q91" s="10">
        <v>40934</v>
      </c>
      <c r="R91" s="7" t="s">
        <v>22</v>
      </c>
      <c r="S91" s="7" t="s">
        <v>2079</v>
      </c>
      <c r="T91" s="93">
        <v>1149860408</v>
      </c>
    </row>
    <row r="92" spans="1:20">
      <c r="A92" s="7" t="s">
        <v>2080</v>
      </c>
      <c r="B92" s="102" t="s">
        <v>2081</v>
      </c>
      <c r="C92" s="7"/>
      <c r="D92" s="7"/>
      <c r="E92" s="7"/>
      <c r="F92" s="94" t="s">
        <v>2082</v>
      </c>
      <c r="G92" s="8" t="s">
        <v>48</v>
      </c>
      <c r="H92" s="94" t="s">
        <v>2082</v>
      </c>
      <c r="I92" s="94">
        <v>27865671</v>
      </c>
      <c r="J92" s="94" t="s">
        <v>313</v>
      </c>
      <c r="K92" s="94" t="s">
        <v>2082</v>
      </c>
      <c r="L92" s="94">
        <v>27865671</v>
      </c>
      <c r="M92" s="7" t="s">
        <v>314</v>
      </c>
      <c r="N92" s="7" t="s">
        <v>12</v>
      </c>
      <c r="O92" s="94" t="s">
        <v>315</v>
      </c>
      <c r="P92" s="8">
        <v>2017</v>
      </c>
      <c r="Q92" s="10">
        <v>42926</v>
      </c>
      <c r="R92" s="7" t="s">
        <v>22</v>
      </c>
      <c r="S92" s="7" t="s">
        <v>2083</v>
      </c>
      <c r="T92" s="93">
        <v>1136303156</v>
      </c>
    </row>
    <row r="93" spans="1:20">
      <c r="A93" s="7" t="s">
        <v>481</v>
      </c>
      <c r="B93" s="102" t="s">
        <v>2084</v>
      </c>
      <c r="C93" s="7"/>
      <c r="D93" s="7"/>
      <c r="E93" s="7"/>
      <c r="F93" s="94" t="s">
        <v>316</v>
      </c>
      <c r="G93" s="8" t="s">
        <v>48</v>
      </c>
      <c r="H93" s="94" t="s">
        <v>316</v>
      </c>
      <c r="I93" s="94">
        <v>37341139</v>
      </c>
      <c r="J93" s="94" t="s">
        <v>2085</v>
      </c>
      <c r="K93" s="94" t="s">
        <v>2086</v>
      </c>
      <c r="L93" s="94">
        <v>33023613</v>
      </c>
      <c r="M93" s="7" t="s">
        <v>317</v>
      </c>
      <c r="N93" s="7" t="s">
        <v>26</v>
      </c>
      <c r="O93" s="94" t="s">
        <v>303</v>
      </c>
      <c r="P93" s="8">
        <v>2022</v>
      </c>
      <c r="Q93" s="10">
        <v>44839</v>
      </c>
      <c r="R93" s="7" t="s">
        <v>22</v>
      </c>
      <c r="S93" s="7" t="s">
        <v>2087</v>
      </c>
      <c r="T93" s="93">
        <v>1141440645</v>
      </c>
    </row>
    <row r="94" spans="1:20">
      <c r="A94" s="7" t="s">
        <v>2088</v>
      </c>
      <c r="B94" s="102" t="s">
        <v>2089</v>
      </c>
      <c r="C94" s="7"/>
      <c r="D94" s="7"/>
      <c r="E94" s="7"/>
      <c r="F94" s="94" t="s">
        <v>318</v>
      </c>
      <c r="G94" s="8" t="s">
        <v>48</v>
      </c>
      <c r="H94" s="94" t="s">
        <v>318</v>
      </c>
      <c r="I94" s="94">
        <v>33718743</v>
      </c>
      <c r="J94" s="94" t="s">
        <v>319</v>
      </c>
      <c r="K94" s="94" t="s">
        <v>318</v>
      </c>
      <c r="L94" s="94">
        <v>33718743</v>
      </c>
      <c r="M94" s="7" t="s">
        <v>320</v>
      </c>
      <c r="N94" s="7" t="s">
        <v>63</v>
      </c>
      <c r="O94" s="94" t="s">
        <v>321</v>
      </c>
      <c r="P94" s="8">
        <v>2016</v>
      </c>
      <c r="Q94" s="10">
        <v>42536</v>
      </c>
      <c r="R94" s="7" t="s">
        <v>22</v>
      </c>
      <c r="S94" s="7" t="s">
        <v>2090</v>
      </c>
      <c r="T94" s="93">
        <v>1121700829</v>
      </c>
    </row>
    <row r="95" spans="1:20">
      <c r="A95" s="7" t="s">
        <v>2091</v>
      </c>
      <c r="B95" s="102" t="s">
        <v>2092</v>
      </c>
      <c r="C95" s="7"/>
      <c r="D95" s="7"/>
      <c r="E95" s="7"/>
      <c r="F95" s="94" t="s">
        <v>322</v>
      </c>
      <c r="G95" s="8" t="s">
        <v>48</v>
      </c>
      <c r="H95" s="94" t="s">
        <v>322</v>
      </c>
      <c r="I95" s="94">
        <v>95923147</v>
      </c>
      <c r="J95" s="94" t="s">
        <v>323</v>
      </c>
      <c r="K95" s="94" t="s">
        <v>322</v>
      </c>
      <c r="L95" s="94">
        <v>95923147</v>
      </c>
      <c r="M95" s="7" t="s">
        <v>324</v>
      </c>
      <c r="N95" s="7" t="s">
        <v>26</v>
      </c>
      <c r="O95" s="94" t="s">
        <v>303</v>
      </c>
      <c r="P95" s="8">
        <v>2022</v>
      </c>
      <c r="Q95" s="9">
        <v>44862</v>
      </c>
      <c r="R95" s="7" t="s">
        <v>22</v>
      </c>
      <c r="S95" s="7" t="s">
        <v>2093</v>
      </c>
      <c r="T95" s="93">
        <v>1126239172</v>
      </c>
    </row>
    <row r="96" spans="1:20">
      <c r="A96" s="7" t="s">
        <v>2094</v>
      </c>
      <c r="B96" s="102" t="s">
        <v>2095</v>
      </c>
      <c r="C96" s="7"/>
      <c r="D96" s="7"/>
      <c r="E96" s="7"/>
      <c r="F96" s="94" t="s">
        <v>325</v>
      </c>
      <c r="G96" s="8" t="s">
        <v>48</v>
      </c>
      <c r="H96" s="94" t="s">
        <v>325</v>
      </c>
      <c r="I96" s="94">
        <v>21480128</v>
      </c>
      <c r="J96" s="94" t="s">
        <v>326</v>
      </c>
      <c r="K96" s="94" t="s">
        <v>325</v>
      </c>
      <c r="L96" s="94">
        <v>21480128</v>
      </c>
      <c r="M96" s="7" t="s">
        <v>327</v>
      </c>
      <c r="N96" s="7" t="s">
        <v>26</v>
      </c>
      <c r="O96" s="94" t="s">
        <v>328</v>
      </c>
      <c r="P96" s="8">
        <v>2012</v>
      </c>
      <c r="Q96" s="10">
        <v>40961</v>
      </c>
      <c r="R96" s="7" t="s">
        <v>123</v>
      </c>
      <c r="S96" s="7" t="s">
        <v>2096</v>
      </c>
      <c r="T96" s="93">
        <v>1155238794</v>
      </c>
    </row>
    <row r="97" spans="1:20">
      <c r="A97" s="7" t="s">
        <v>2097</v>
      </c>
      <c r="B97" s="102" t="s">
        <v>2098</v>
      </c>
      <c r="C97" s="7"/>
      <c r="D97" s="7"/>
      <c r="E97" s="7"/>
      <c r="F97" s="94" t="s">
        <v>329</v>
      </c>
      <c r="G97" s="8" t="s">
        <v>48</v>
      </c>
      <c r="H97" s="94" t="s">
        <v>329</v>
      </c>
      <c r="I97" s="94">
        <v>32311285</v>
      </c>
      <c r="J97" s="94" t="s">
        <v>2099</v>
      </c>
      <c r="K97" s="94" t="s">
        <v>330</v>
      </c>
      <c r="L97" s="94">
        <v>32391963</v>
      </c>
      <c r="M97" s="7" t="s">
        <v>331</v>
      </c>
      <c r="N97" s="7" t="s">
        <v>63</v>
      </c>
      <c r="O97" s="94" t="s">
        <v>332</v>
      </c>
      <c r="P97" s="8">
        <v>2019</v>
      </c>
      <c r="Q97" s="10">
        <v>43614</v>
      </c>
      <c r="R97" s="7" t="s">
        <v>57</v>
      </c>
      <c r="S97" s="7" t="s">
        <v>2100</v>
      </c>
      <c r="T97" s="93">
        <v>1165481614</v>
      </c>
    </row>
    <row r="98" spans="1:20">
      <c r="A98" s="7" t="s">
        <v>2101</v>
      </c>
      <c r="B98" s="102" t="s">
        <v>2102</v>
      </c>
      <c r="C98" s="7"/>
      <c r="D98" s="7"/>
      <c r="E98" s="7"/>
      <c r="F98" s="94" t="s">
        <v>333</v>
      </c>
      <c r="G98" s="8" t="s">
        <v>48</v>
      </c>
      <c r="H98" s="94" t="s">
        <v>333</v>
      </c>
      <c r="I98" s="94">
        <v>14142769</v>
      </c>
      <c r="J98" s="94" t="s">
        <v>334</v>
      </c>
      <c r="K98" s="94" t="s">
        <v>333</v>
      </c>
      <c r="L98" s="94">
        <v>14142769</v>
      </c>
      <c r="M98" s="7" t="s">
        <v>335</v>
      </c>
      <c r="N98" s="7" t="s">
        <v>12</v>
      </c>
      <c r="O98" s="94" t="s">
        <v>336</v>
      </c>
      <c r="P98" s="8">
        <v>2011</v>
      </c>
      <c r="Q98" s="10">
        <v>40724</v>
      </c>
      <c r="R98" s="7" t="s">
        <v>123</v>
      </c>
      <c r="S98" s="7" t="s">
        <v>2103</v>
      </c>
      <c r="T98" s="93">
        <v>1159914738</v>
      </c>
    </row>
    <row r="99" spans="1:20">
      <c r="A99" s="7" t="s">
        <v>2104</v>
      </c>
      <c r="B99" s="102" t="s">
        <v>2105</v>
      </c>
      <c r="C99" s="7"/>
      <c r="D99" s="7"/>
      <c r="E99" s="7"/>
      <c r="F99" s="94" t="s">
        <v>337</v>
      </c>
      <c r="G99" s="8" t="s">
        <v>48</v>
      </c>
      <c r="H99" s="94" t="s">
        <v>337</v>
      </c>
      <c r="I99" s="94">
        <v>31292831</v>
      </c>
      <c r="J99" s="94" t="s">
        <v>338</v>
      </c>
      <c r="K99" s="94" t="s">
        <v>337</v>
      </c>
      <c r="L99" s="94">
        <v>31292831</v>
      </c>
      <c r="M99" s="7" t="s">
        <v>339</v>
      </c>
      <c r="N99" s="7" t="s">
        <v>26</v>
      </c>
      <c r="O99" s="94" t="s">
        <v>27</v>
      </c>
      <c r="P99" s="8">
        <v>2021</v>
      </c>
      <c r="Q99" s="84">
        <v>44315</v>
      </c>
      <c r="R99" s="7" t="s">
        <v>22</v>
      </c>
      <c r="S99" s="7" t="s">
        <v>2106</v>
      </c>
      <c r="T99" s="93">
        <v>1159199618</v>
      </c>
    </row>
    <row r="100" spans="1:20">
      <c r="A100" s="7" t="s">
        <v>2107</v>
      </c>
      <c r="B100" s="102" t="s">
        <v>2108</v>
      </c>
      <c r="C100" s="7"/>
      <c r="D100" s="7"/>
      <c r="E100" s="7"/>
      <c r="F100" s="94" t="s">
        <v>340</v>
      </c>
      <c r="G100" s="8" t="s">
        <v>48</v>
      </c>
      <c r="H100" s="94" t="s">
        <v>340</v>
      </c>
      <c r="I100" s="94">
        <v>12644969</v>
      </c>
      <c r="J100" s="94" t="s">
        <v>341</v>
      </c>
      <c r="K100" s="94" t="s">
        <v>340</v>
      </c>
      <c r="L100" s="94">
        <v>12644969</v>
      </c>
      <c r="M100" s="7" t="s">
        <v>342</v>
      </c>
      <c r="N100" s="7" t="s">
        <v>203</v>
      </c>
      <c r="O100" s="94" t="s">
        <v>343</v>
      </c>
      <c r="P100" s="8">
        <v>2022</v>
      </c>
      <c r="Q100" s="82">
        <v>44851</v>
      </c>
      <c r="R100" s="7" t="s">
        <v>57</v>
      </c>
      <c r="S100" s="7" t="s">
        <v>2109</v>
      </c>
      <c r="T100" s="93">
        <v>1139389323</v>
      </c>
    </row>
    <row r="101" spans="1:20">
      <c r="A101" s="7" t="s">
        <v>2110</v>
      </c>
      <c r="B101" s="102" t="s">
        <v>2111</v>
      </c>
      <c r="C101" s="7"/>
      <c r="D101" s="7"/>
      <c r="E101" s="7"/>
      <c r="F101" s="94" t="s">
        <v>344</v>
      </c>
      <c r="G101" s="8" t="s">
        <v>48</v>
      </c>
      <c r="H101" s="94" t="s">
        <v>344</v>
      </c>
      <c r="I101" s="94">
        <v>92610535</v>
      </c>
      <c r="J101" s="94" t="s">
        <v>2112</v>
      </c>
      <c r="K101" s="94" t="s">
        <v>345</v>
      </c>
      <c r="L101" s="94">
        <v>92610536</v>
      </c>
      <c r="M101" s="7" t="s">
        <v>346</v>
      </c>
      <c r="N101" s="7" t="s">
        <v>347</v>
      </c>
      <c r="O101" s="94" t="s">
        <v>348</v>
      </c>
      <c r="P101" s="8">
        <v>2014</v>
      </c>
      <c r="Q101" s="9">
        <v>41883</v>
      </c>
      <c r="R101" s="7" t="s">
        <v>57</v>
      </c>
      <c r="S101" s="7" t="s">
        <v>2113</v>
      </c>
      <c r="T101" s="93">
        <v>1132394896</v>
      </c>
    </row>
    <row r="102" spans="1:20">
      <c r="A102" s="7" t="s">
        <v>2114</v>
      </c>
      <c r="B102" s="102" t="s">
        <v>2115</v>
      </c>
      <c r="C102" s="7"/>
      <c r="D102" s="7"/>
      <c r="E102" s="7"/>
      <c r="F102" s="94" t="s">
        <v>349</v>
      </c>
      <c r="G102" s="8" t="s">
        <v>48</v>
      </c>
      <c r="H102" s="94" t="s">
        <v>349</v>
      </c>
      <c r="I102" s="94">
        <v>28936774</v>
      </c>
      <c r="J102" s="94" t="s">
        <v>350</v>
      </c>
      <c r="K102" s="94" t="s">
        <v>349</v>
      </c>
      <c r="L102" s="94">
        <v>28936774</v>
      </c>
      <c r="M102" s="7" t="s">
        <v>351</v>
      </c>
      <c r="N102" s="7" t="s">
        <v>26</v>
      </c>
      <c r="O102" s="94" t="s">
        <v>352</v>
      </c>
      <c r="P102" s="8">
        <v>2019</v>
      </c>
      <c r="Q102" s="9">
        <v>43637</v>
      </c>
      <c r="R102" s="7" t="s">
        <v>57</v>
      </c>
      <c r="S102" s="7" t="s">
        <v>2116</v>
      </c>
      <c r="T102" s="93">
        <v>1149368525</v>
      </c>
    </row>
    <row r="103" spans="1:20">
      <c r="A103" s="7" t="s">
        <v>2117</v>
      </c>
      <c r="B103" s="102" t="s">
        <v>2118</v>
      </c>
      <c r="C103" s="7"/>
      <c r="D103" s="7"/>
      <c r="E103" s="7"/>
      <c r="F103" s="94" t="s">
        <v>353</v>
      </c>
      <c r="G103" s="8" t="s">
        <v>48</v>
      </c>
      <c r="H103" s="94" t="s">
        <v>353</v>
      </c>
      <c r="I103" s="94">
        <v>40291398</v>
      </c>
      <c r="J103" s="94" t="s">
        <v>2119</v>
      </c>
      <c r="K103" s="94" t="s">
        <v>354</v>
      </c>
      <c r="L103" s="94">
        <v>8577211</v>
      </c>
      <c r="M103" s="7" t="s">
        <v>355</v>
      </c>
      <c r="N103" s="7" t="s">
        <v>67</v>
      </c>
      <c r="O103" s="94" t="s">
        <v>356</v>
      </c>
      <c r="P103" s="8">
        <v>2010</v>
      </c>
      <c r="Q103" s="9">
        <v>40420</v>
      </c>
      <c r="R103" s="7" t="s">
        <v>22</v>
      </c>
      <c r="S103" s="7" t="s">
        <v>2120</v>
      </c>
      <c r="T103" s="93" t="s">
        <v>2121</v>
      </c>
    </row>
    <row r="104" spans="1:20">
      <c r="A104" s="7" t="s">
        <v>2122</v>
      </c>
      <c r="B104" s="102" t="s">
        <v>2123</v>
      </c>
      <c r="C104" s="7"/>
      <c r="D104" s="7"/>
      <c r="E104" s="7"/>
      <c r="F104" s="94" t="s">
        <v>357</v>
      </c>
      <c r="G104" s="8" t="s">
        <v>48</v>
      </c>
      <c r="H104" s="94" t="s">
        <v>357</v>
      </c>
      <c r="I104" s="94">
        <v>29695637</v>
      </c>
      <c r="J104" s="94" t="s">
        <v>358</v>
      </c>
      <c r="K104" s="94" t="s">
        <v>357</v>
      </c>
      <c r="L104" s="94">
        <v>29695637</v>
      </c>
      <c r="M104" s="7" t="s">
        <v>359</v>
      </c>
      <c r="N104" s="7" t="s">
        <v>20</v>
      </c>
      <c r="O104" s="94" t="s">
        <v>230</v>
      </c>
      <c r="P104" s="8">
        <v>2018</v>
      </c>
      <c r="Q104" s="9">
        <v>43158</v>
      </c>
      <c r="R104" s="7" t="s">
        <v>22</v>
      </c>
      <c r="S104" s="7" t="s">
        <v>2124</v>
      </c>
      <c r="T104" s="93">
        <v>2213035278</v>
      </c>
    </row>
    <row r="105" spans="1:20">
      <c r="A105" s="7" t="s">
        <v>2125</v>
      </c>
      <c r="B105" s="102" t="s">
        <v>2126</v>
      </c>
      <c r="C105" s="7"/>
      <c r="D105" s="7"/>
      <c r="E105" s="7"/>
      <c r="F105" s="94" t="s">
        <v>365</v>
      </c>
      <c r="G105" s="8" t="s">
        <v>48</v>
      </c>
      <c r="H105" s="94" t="s">
        <v>365</v>
      </c>
      <c r="I105" s="94">
        <v>94953108</v>
      </c>
      <c r="J105" s="94" t="s">
        <v>366</v>
      </c>
      <c r="K105" s="94" t="s">
        <v>365</v>
      </c>
      <c r="L105" s="94">
        <v>94953108</v>
      </c>
      <c r="M105" s="7" t="s">
        <v>367</v>
      </c>
      <c r="N105" s="7" t="s">
        <v>12</v>
      </c>
      <c r="O105" s="94" t="s">
        <v>368</v>
      </c>
      <c r="P105" s="8">
        <v>2017</v>
      </c>
      <c r="Q105" s="9">
        <v>42919</v>
      </c>
      <c r="R105" s="7" t="s">
        <v>22</v>
      </c>
      <c r="S105" s="7" t="s">
        <v>2127</v>
      </c>
      <c r="T105" s="93">
        <v>1133115069</v>
      </c>
    </row>
    <row r="106" spans="1:20">
      <c r="A106" s="7" t="s">
        <v>2128</v>
      </c>
      <c r="B106" s="102" t="s">
        <v>2129</v>
      </c>
      <c r="C106" s="7"/>
      <c r="D106" s="7"/>
      <c r="E106" s="7"/>
      <c r="F106" s="94" t="s">
        <v>369</v>
      </c>
      <c r="G106" s="8" t="s">
        <v>48</v>
      </c>
      <c r="H106" s="94" t="s">
        <v>369</v>
      </c>
      <c r="I106" s="94">
        <v>95761534</v>
      </c>
      <c r="J106" s="94" t="s">
        <v>370</v>
      </c>
      <c r="K106" s="94" t="s">
        <v>369</v>
      </c>
      <c r="L106" s="94">
        <v>95761534</v>
      </c>
      <c r="M106" s="7" t="s">
        <v>371</v>
      </c>
      <c r="N106" s="7" t="s">
        <v>12</v>
      </c>
      <c r="O106" s="94" t="s">
        <v>43</v>
      </c>
      <c r="P106" s="8">
        <v>2015</v>
      </c>
      <c r="Q106" s="9">
        <v>42285</v>
      </c>
      <c r="R106" s="7" t="s">
        <v>22</v>
      </c>
      <c r="S106" s="7" t="s">
        <v>2130</v>
      </c>
      <c r="T106" s="93">
        <v>1126640652</v>
      </c>
    </row>
    <row r="107" spans="1:20">
      <c r="A107" s="7" t="s">
        <v>2131</v>
      </c>
      <c r="B107" s="102" t="s">
        <v>2132</v>
      </c>
      <c r="C107" s="7"/>
      <c r="D107" s="7"/>
      <c r="E107" s="7"/>
      <c r="F107" s="94" t="s">
        <v>372</v>
      </c>
      <c r="G107" s="8" t="s">
        <v>48</v>
      </c>
      <c r="H107" s="94" t="s">
        <v>372</v>
      </c>
      <c r="I107" s="94">
        <v>95874821</v>
      </c>
      <c r="J107" s="94" t="s">
        <v>373</v>
      </c>
      <c r="K107" s="94" t="s">
        <v>372</v>
      </c>
      <c r="L107" s="94">
        <v>95874821</v>
      </c>
      <c r="M107" s="7" t="s">
        <v>374</v>
      </c>
      <c r="N107" s="7" t="s">
        <v>26</v>
      </c>
      <c r="O107" s="94" t="s">
        <v>47</v>
      </c>
      <c r="P107" s="8">
        <v>2021</v>
      </c>
      <c r="Q107" s="9">
        <v>44525</v>
      </c>
      <c r="R107" s="7" t="s">
        <v>22</v>
      </c>
      <c r="S107" s="7" t="s">
        <v>2133</v>
      </c>
      <c r="T107" s="93">
        <v>1124557816</v>
      </c>
    </row>
    <row r="108" spans="1:20">
      <c r="A108" s="7" t="s">
        <v>2134</v>
      </c>
      <c r="B108" s="102" t="s">
        <v>2135</v>
      </c>
      <c r="C108" s="7"/>
      <c r="D108" s="7"/>
      <c r="E108" s="7"/>
      <c r="F108" s="94" t="s">
        <v>375</v>
      </c>
      <c r="G108" s="8" t="s">
        <v>48</v>
      </c>
      <c r="H108" s="94" t="s">
        <v>375</v>
      </c>
      <c r="I108" s="94">
        <v>31791075</v>
      </c>
      <c r="J108" s="94" t="s">
        <v>376</v>
      </c>
      <c r="K108" s="94" t="s">
        <v>375</v>
      </c>
      <c r="L108" s="94">
        <v>31791075</v>
      </c>
      <c r="M108" s="7" t="s">
        <v>377</v>
      </c>
      <c r="N108" s="7" t="s">
        <v>347</v>
      </c>
      <c r="O108" s="94" t="s">
        <v>378</v>
      </c>
      <c r="P108" s="8">
        <v>2017</v>
      </c>
      <c r="Q108" s="10">
        <v>42873</v>
      </c>
      <c r="R108" s="7" t="s">
        <v>22</v>
      </c>
      <c r="S108" s="7" t="s">
        <v>2136</v>
      </c>
      <c r="T108" s="93">
        <v>1158585181</v>
      </c>
    </row>
    <row r="109" spans="1:20">
      <c r="A109" s="7" t="s">
        <v>2137</v>
      </c>
      <c r="B109" s="102" t="s">
        <v>2138</v>
      </c>
      <c r="C109" s="7"/>
      <c r="D109" s="7"/>
      <c r="E109" s="7"/>
      <c r="F109" s="94" t="s">
        <v>379</v>
      </c>
      <c r="G109" s="8" t="s">
        <v>48</v>
      </c>
      <c r="H109" s="94" t="s">
        <v>379</v>
      </c>
      <c r="I109" s="94">
        <v>29780181</v>
      </c>
      <c r="J109" s="108" t="s">
        <v>2139</v>
      </c>
      <c r="K109" s="94" t="s">
        <v>379</v>
      </c>
      <c r="L109" s="94">
        <v>29780181</v>
      </c>
      <c r="M109" s="7" t="s">
        <v>380</v>
      </c>
      <c r="N109" s="7" t="s">
        <v>26</v>
      </c>
      <c r="O109" s="94" t="s">
        <v>2140</v>
      </c>
      <c r="P109" s="8">
        <v>2023</v>
      </c>
      <c r="Q109" s="10">
        <v>44964</v>
      </c>
      <c r="R109" s="7" t="s">
        <v>22</v>
      </c>
      <c r="S109" s="7" t="s">
        <v>2141</v>
      </c>
      <c r="T109" s="93">
        <v>1153190685</v>
      </c>
    </row>
    <row r="110" spans="1:20">
      <c r="A110" s="7" t="s">
        <v>2142</v>
      </c>
      <c r="B110" s="102" t="s">
        <v>2143</v>
      </c>
      <c r="C110" s="7"/>
      <c r="D110" s="7"/>
      <c r="E110" s="7"/>
      <c r="F110" s="94" t="s">
        <v>381</v>
      </c>
      <c r="G110" s="8" t="s">
        <v>48</v>
      </c>
      <c r="H110" s="94" t="s">
        <v>381</v>
      </c>
      <c r="I110" s="94">
        <v>14630882</v>
      </c>
      <c r="J110" s="94" t="s">
        <v>382</v>
      </c>
      <c r="K110" s="94" t="s">
        <v>381</v>
      </c>
      <c r="L110" s="94">
        <v>14630882</v>
      </c>
      <c r="M110" s="7" t="s">
        <v>383</v>
      </c>
      <c r="N110" s="7" t="s">
        <v>203</v>
      </c>
      <c r="O110" s="94" t="s">
        <v>384</v>
      </c>
      <c r="P110" s="8">
        <v>2017</v>
      </c>
      <c r="Q110" s="10">
        <v>42894</v>
      </c>
      <c r="R110" s="7" t="s">
        <v>22</v>
      </c>
      <c r="S110" s="7" t="s">
        <v>2144</v>
      </c>
      <c r="T110" s="93">
        <v>1140734905</v>
      </c>
    </row>
    <row r="111" spans="1:20">
      <c r="A111" s="7" t="s">
        <v>2145</v>
      </c>
      <c r="B111" s="102" t="s">
        <v>2146</v>
      </c>
      <c r="C111" s="7"/>
      <c r="D111" s="7"/>
      <c r="E111" s="7"/>
      <c r="F111" s="94" t="s">
        <v>385</v>
      </c>
      <c r="G111" s="8" t="s">
        <v>48</v>
      </c>
      <c r="H111" s="94" t="s">
        <v>385</v>
      </c>
      <c r="I111" s="94">
        <v>32760656</v>
      </c>
      <c r="J111" s="94" t="s">
        <v>386</v>
      </c>
      <c r="K111" s="94" t="s">
        <v>387</v>
      </c>
      <c r="L111" s="94">
        <v>22974857</v>
      </c>
      <c r="M111" s="7" t="s">
        <v>388</v>
      </c>
      <c r="N111" s="7" t="s">
        <v>20</v>
      </c>
      <c r="O111" s="94" t="s">
        <v>389</v>
      </c>
      <c r="P111" s="8">
        <v>2012</v>
      </c>
      <c r="Q111" s="9">
        <v>41228</v>
      </c>
      <c r="R111" s="7" t="s">
        <v>22</v>
      </c>
      <c r="S111" s="7" t="s">
        <v>2147</v>
      </c>
      <c r="T111" s="93">
        <v>1168549337</v>
      </c>
    </row>
    <row r="112" spans="1:20">
      <c r="A112" s="7" t="s">
        <v>2148</v>
      </c>
      <c r="B112" s="102" t="s">
        <v>2149</v>
      </c>
      <c r="C112" s="7"/>
      <c r="D112" s="7"/>
      <c r="E112" s="7"/>
      <c r="F112" s="94" t="s">
        <v>390</v>
      </c>
      <c r="G112" s="8" t="s">
        <v>48</v>
      </c>
      <c r="H112" s="94" t="s">
        <v>390</v>
      </c>
      <c r="I112" s="94">
        <v>21981528</v>
      </c>
      <c r="J112" s="94" t="s">
        <v>2150</v>
      </c>
      <c r="K112" s="94" t="s">
        <v>391</v>
      </c>
      <c r="L112" s="94">
        <v>29313941</v>
      </c>
      <c r="M112" s="7" t="s">
        <v>392</v>
      </c>
      <c r="N112" s="7" t="s">
        <v>12</v>
      </c>
      <c r="O112" s="94" t="s">
        <v>393</v>
      </c>
      <c r="P112" s="8">
        <v>2017</v>
      </c>
      <c r="Q112" s="10">
        <v>42940</v>
      </c>
      <c r="R112" s="7" t="s">
        <v>14</v>
      </c>
      <c r="S112" s="7" t="s">
        <v>2151</v>
      </c>
      <c r="T112" s="93">
        <v>1160458667</v>
      </c>
    </row>
    <row r="113" spans="1:20">
      <c r="A113" s="7" t="s">
        <v>2152</v>
      </c>
      <c r="B113" s="102" t="s">
        <v>2153</v>
      </c>
      <c r="C113" s="7"/>
      <c r="D113" s="7"/>
      <c r="E113" s="7"/>
      <c r="F113" s="94" t="s">
        <v>2154</v>
      </c>
      <c r="G113" s="8" t="s">
        <v>48</v>
      </c>
      <c r="H113" s="94" t="s">
        <v>2154</v>
      </c>
      <c r="I113" s="94">
        <v>35819426</v>
      </c>
      <c r="J113" s="94" t="s">
        <v>2155</v>
      </c>
      <c r="K113" s="94" t="s">
        <v>2154</v>
      </c>
      <c r="L113" s="94">
        <v>35819426</v>
      </c>
      <c r="M113" s="7" t="s">
        <v>394</v>
      </c>
      <c r="N113" s="7" t="s">
        <v>26</v>
      </c>
      <c r="O113" s="94" t="s">
        <v>395</v>
      </c>
      <c r="P113" s="8">
        <v>2014</v>
      </c>
      <c r="Q113" s="10">
        <v>41792</v>
      </c>
      <c r="R113" s="7" t="s">
        <v>57</v>
      </c>
      <c r="S113" s="7" t="s">
        <v>2156</v>
      </c>
      <c r="T113" s="93">
        <v>1138807751</v>
      </c>
    </row>
    <row r="114" spans="1:20">
      <c r="A114" s="7" t="s">
        <v>2157</v>
      </c>
      <c r="B114" s="102" t="s">
        <v>2158</v>
      </c>
      <c r="C114" s="7"/>
      <c r="D114" s="7"/>
      <c r="E114" s="7"/>
      <c r="F114" s="94" t="s">
        <v>396</v>
      </c>
      <c r="G114" s="8" t="s">
        <v>48</v>
      </c>
      <c r="H114" s="94" t="s">
        <v>396</v>
      </c>
      <c r="I114" s="94">
        <v>26207710</v>
      </c>
      <c r="J114" s="94" t="s">
        <v>2159</v>
      </c>
      <c r="K114" s="94" t="s">
        <v>397</v>
      </c>
      <c r="L114" s="94">
        <v>24806437</v>
      </c>
      <c r="M114" s="7" t="s">
        <v>398</v>
      </c>
      <c r="N114" s="7" t="s">
        <v>20</v>
      </c>
      <c r="O114" s="94" t="s">
        <v>2160</v>
      </c>
      <c r="P114" s="8">
        <v>2023</v>
      </c>
      <c r="Q114" s="10">
        <v>44991</v>
      </c>
      <c r="R114" s="7" t="s">
        <v>57</v>
      </c>
      <c r="S114" s="7" t="s">
        <v>2161</v>
      </c>
      <c r="T114" s="93">
        <v>1138721633</v>
      </c>
    </row>
    <row r="115" spans="1:20">
      <c r="A115" s="7" t="s">
        <v>2162</v>
      </c>
      <c r="B115" s="102" t="s">
        <v>2163</v>
      </c>
      <c r="C115" s="7"/>
      <c r="D115" s="7"/>
      <c r="E115" s="7"/>
      <c r="F115" s="94" t="s">
        <v>399</v>
      </c>
      <c r="G115" s="8" t="s">
        <v>48</v>
      </c>
      <c r="H115" s="94" t="s">
        <v>399</v>
      </c>
      <c r="I115" s="94">
        <v>11663420</v>
      </c>
      <c r="J115" s="94" t="s">
        <v>400</v>
      </c>
      <c r="K115" s="94" t="s">
        <v>401</v>
      </c>
      <c r="L115" s="94">
        <v>37354581</v>
      </c>
      <c r="M115" s="7" t="s">
        <v>402</v>
      </c>
      <c r="N115" s="7" t="s">
        <v>63</v>
      </c>
      <c r="O115" s="7" t="s">
        <v>321</v>
      </c>
      <c r="P115" s="8">
        <v>2015</v>
      </c>
      <c r="Q115" s="10">
        <v>42248</v>
      </c>
      <c r="R115" s="7" t="s">
        <v>22</v>
      </c>
      <c r="S115" s="7" t="s">
        <v>2164</v>
      </c>
      <c r="T115" s="93">
        <v>1155156646</v>
      </c>
    </row>
    <row r="116" spans="1:20">
      <c r="A116" s="7" t="s">
        <v>2165</v>
      </c>
      <c r="B116" s="102" t="s">
        <v>2166</v>
      </c>
      <c r="C116" s="7"/>
      <c r="D116" s="7"/>
      <c r="E116" s="7"/>
      <c r="F116" s="94" t="s">
        <v>403</v>
      </c>
      <c r="G116" s="8" t="s">
        <v>48</v>
      </c>
      <c r="H116" s="94" t="s">
        <v>403</v>
      </c>
      <c r="I116" s="94">
        <v>31135690</v>
      </c>
      <c r="J116" s="94" t="s">
        <v>2167</v>
      </c>
      <c r="K116" s="94" t="s">
        <v>403</v>
      </c>
      <c r="L116" s="94">
        <v>31135690</v>
      </c>
      <c r="M116" s="7" t="s">
        <v>404</v>
      </c>
      <c r="N116" s="7" t="s">
        <v>203</v>
      </c>
      <c r="O116" s="94" t="s">
        <v>405</v>
      </c>
      <c r="P116" s="8">
        <v>2017</v>
      </c>
      <c r="Q116" s="10">
        <v>42990</v>
      </c>
      <c r="R116" s="7" t="s">
        <v>22</v>
      </c>
      <c r="S116" s="7" t="s">
        <v>2168</v>
      </c>
      <c r="T116" s="93">
        <v>1134248837</v>
      </c>
    </row>
    <row r="117" spans="1:20">
      <c r="A117" s="7" t="s">
        <v>2169</v>
      </c>
      <c r="B117" s="102" t="s">
        <v>2170</v>
      </c>
      <c r="C117" s="7"/>
      <c r="D117" s="7"/>
      <c r="E117" s="7"/>
      <c r="F117" s="94" t="s">
        <v>406</v>
      </c>
      <c r="G117" s="8" t="s">
        <v>48</v>
      </c>
      <c r="H117" s="94" t="s">
        <v>406</v>
      </c>
      <c r="I117" s="94">
        <v>13238856</v>
      </c>
      <c r="J117" s="7" t="s">
        <v>407</v>
      </c>
      <c r="K117" s="94" t="s">
        <v>406</v>
      </c>
      <c r="L117" s="94">
        <v>13238856</v>
      </c>
      <c r="M117" s="7" t="s">
        <v>408</v>
      </c>
      <c r="N117" s="7" t="s">
        <v>12</v>
      </c>
      <c r="O117" s="94" t="s">
        <v>307</v>
      </c>
      <c r="P117" s="8">
        <v>2011</v>
      </c>
      <c r="Q117" s="10">
        <v>40814</v>
      </c>
      <c r="R117" s="7" t="s">
        <v>22</v>
      </c>
      <c r="S117" s="7" t="s">
        <v>2171</v>
      </c>
      <c r="T117" s="93">
        <v>13238856</v>
      </c>
    </row>
    <row r="118" spans="1:20">
      <c r="A118" s="7" t="s">
        <v>2172</v>
      </c>
      <c r="B118" s="102" t="s">
        <v>2173</v>
      </c>
      <c r="C118" s="7"/>
      <c r="D118" s="7"/>
      <c r="E118" s="7"/>
      <c r="F118" s="94" t="s">
        <v>417</v>
      </c>
      <c r="G118" s="8" t="s">
        <v>48</v>
      </c>
      <c r="H118" s="94" t="s">
        <v>417</v>
      </c>
      <c r="I118" s="94">
        <v>40458527</v>
      </c>
      <c r="J118" s="7" t="s">
        <v>418</v>
      </c>
      <c r="K118" s="94" t="s">
        <v>417</v>
      </c>
      <c r="L118" s="94">
        <v>40458527</v>
      </c>
      <c r="M118" s="7" t="s">
        <v>419</v>
      </c>
      <c r="N118" s="7" t="s">
        <v>12</v>
      </c>
      <c r="O118" s="94" t="s">
        <v>420</v>
      </c>
      <c r="P118" s="8">
        <v>2015</v>
      </c>
      <c r="Q118" s="82">
        <v>42320</v>
      </c>
      <c r="R118" s="7" t="s">
        <v>14</v>
      </c>
      <c r="S118" s="7" t="s">
        <v>2174</v>
      </c>
      <c r="T118" s="93">
        <v>1138329430</v>
      </c>
    </row>
    <row r="119" spans="1:20">
      <c r="A119" s="7" t="s">
        <v>2175</v>
      </c>
      <c r="B119" s="102" t="s">
        <v>2176</v>
      </c>
      <c r="C119" s="7"/>
      <c r="D119" s="7"/>
      <c r="E119" s="7"/>
      <c r="F119" s="7" t="s">
        <v>421</v>
      </c>
      <c r="G119" s="8" t="s">
        <v>48</v>
      </c>
      <c r="H119" s="7" t="s">
        <v>421</v>
      </c>
      <c r="I119" s="94">
        <v>24705952</v>
      </c>
      <c r="J119" s="94" t="s">
        <v>422</v>
      </c>
      <c r="K119" s="94" t="s">
        <v>421</v>
      </c>
      <c r="L119" s="94">
        <v>24705952</v>
      </c>
      <c r="M119" s="7" t="s">
        <v>423</v>
      </c>
      <c r="N119" s="7" t="s">
        <v>26</v>
      </c>
      <c r="O119" s="94" t="s">
        <v>303</v>
      </c>
      <c r="P119" s="8">
        <v>2023</v>
      </c>
      <c r="Q119" s="84">
        <v>44944</v>
      </c>
      <c r="R119" s="7" t="s">
        <v>22</v>
      </c>
      <c r="S119" s="7" t="s">
        <v>2177</v>
      </c>
      <c r="T119" s="93">
        <v>1135648420</v>
      </c>
    </row>
    <row r="120" spans="1:20">
      <c r="A120" s="7" t="s">
        <v>2178</v>
      </c>
      <c r="B120" s="102" t="s">
        <v>2179</v>
      </c>
      <c r="C120" s="7"/>
      <c r="D120" s="7"/>
      <c r="E120" s="7"/>
      <c r="F120" s="94" t="s">
        <v>424</v>
      </c>
      <c r="G120" s="8" t="s">
        <v>48</v>
      </c>
      <c r="H120" s="94" t="s">
        <v>424</v>
      </c>
      <c r="I120" s="94">
        <v>22225008</v>
      </c>
      <c r="J120" s="94" t="s">
        <v>425</v>
      </c>
      <c r="K120" s="94" t="s">
        <v>424</v>
      </c>
      <c r="L120" s="94">
        <v>22225008</v>
      </c>
      <c r="M120" s="7" t="s">
        <v>426</v>
      </c>
      <c r="N120" s="7" t="s">
        <v>20</v>
      </c>
      <c r="O120" s="94" t="s">
        <v>427</v>
      </c>
      <c r="P120" s="8">
        <v>2014</v>
      </c>
      <c r="Q120" s="10">
        <v>41645</v>
      </c>
      <c r="R120" s="7" t="s">
        <v>22</v>
      </c>
      <c r="S120" s="7" t="s">
        <v>2180</v>
      </c>
      <c r="T120" s="93">
        <v>1133690065</v>
      </c>
    </row>
    <row r="121" spans="1:20">
      <c r="A121" s="7" t="s">
        <v>2181</v>
      </c>
      <c r="B121" s="102" t="s">
        <v>2182</v>
      </c>
      <c r="C121" s="7"/>
      <c r="D121" s="7"/>
      <c r="E121" s="7"/>
      <c r="F121" s="94" t="s">
        <v>428</v>
      </c>
      <c r="G121" s="8" t="s">
        <v>48</v>
      </c>
      <c r="H121" s="94" t="s">
        <v>428</v>
      </c>
      <c r="I121" s="94">
        <v>22923674</v>
      </c>
      <c r="J121" s="94" t="s">
        <v>429</v>
      </c>
      <c r="K121" s="94" t="s">
        <v>428</v>
      </c>
      <c r="L121" s="94">
        <v>22923674</v>
      </c>
      <c r="M121" s="7" t="s">
        <v>430</v>
      </c>
      <c r="N121" s="7" t="s">
        <v>108</v>
      </c>
      <c r="O121" s="94" t="s">
        <v>431</v>
      </c>
      <c r="P121" s="8">
        <v>2013</v>
      </c>
      <c r="Q121" s="10">
        <v>41396</v>
      </c>
      <c r="R121" s="7" t="s">
        <v>57</v>
      </c>
      <c r="S121" s="7" t="s">
        <v>2183</v>
      </c>
      <c r="T121" s="93">
        <v>1131306375</v>
      </c>
    </row>
    <row r="122" spans="1:20">
      <c r="A122" s="7" t="s">
        <v>2184</v>
      </c>
      <c r="B122" s="102" t="s">
        <v>2185</v>
      </c>
      <c r="C122" s="7"/>
      <c r="D122" s="7"/>
      <c r="E122" s="7"/>
      <c r="F122" s="94" t="s">
        <v>432</v>
      </c>
      <c r="G122" s="8" t="s">
        <v>48</v>
      </c>
      <c r="H122" s="94" t="s">
        <v>432</v>
      </c>
      <c r="I122" s="94">
        <v>13773705</v>
      </c>
      <c r="J122" s="94" t="s">
        <v>2186</v>
      </c>
      <c r="K122" s="94" t="s">
        <v>432</v>
      </c>
      <c r="L122" s="94">
        <v>13773705</v>
      </c>
      <c r="M122" s="7" t="s">
        <v>433</v>
      </c>
      <c r="N122" s="7" t="s">
        <v>434</v>
      </c>
      <c r="O122" s="94" t="s">
        <v>435</v>
      </c>
      <c r="P122" s="8">
        <v>2022</v>
      </c>
      <c r="Q122" s="10">
        <v>44649</v>
      </c>
      <c r="R122" s="7" t="s">
        <v>22</v>
      </c>
      <c r="S122" s="7" t="s">
        <v>2187</v>
      </c>
      <c r="T122" s="93">
        <v>1134334584</v>
      </c>
    </row>
    <row r="123" spans="1:20">
      <c r="A123" s="7" t="s">
        <v>2188</v>
      </c>
      <c r="B123" s="102" t="s">
        <v>2189</v>
      </c>
      <c r="C123" s="7"/>
      <c r="D123" s="7"/>
      <c r="E123" s="7"/>
      <c r="F123" s="94" t="s">
        <v>436</v>
      </c>
      <c r="G123" s="8" t="s">
        <v>48</v>
      </c>
      <c r="H123" s="94" t="s">
        <v>436</v>
      </c>
      <c r="I123" s="94">
        <v>16913038</v>
      </c>
      <c r="J123" s="94" t="s">
        <v>437</v>
      </c>
      <c r="K123" s="94" t="s">
        <v>438</v>
      </c>
      <c r="L123" s="94">
        <v>16729064</v>
      </c>
      <c r="M123" s="7" t="s">
        <v>439</v>
      </c>
      <c r="N123" s="7" t="s">
        <v>20</v>
      </c>
      <c r="O123" s="94" t="s">
        <v>440</v>
      </c>
      <c r="P123" s="8">
        <v>2019</v>
      </c>
      <c r="Q123" s="10">
        <v>43539</v>
      </c>
      <c r="R123" s="7" t="s">
        <v>57</v>
      </c>
      <c r="S123" s="7" t="s">
        <v>2190</v>
      </c>
      <c r="T123" s="93">
        <v>1156431336</v>
      </c>
    </row>
    <row r="124" spans="1:20">
      <c r="A124" s="7" t="s">
        <v>2191</v>
      </c>
      <c r="B124" s="102" t="s">
        <v>2192</v>
      </c>
      <c r="C124" s="7"/>
      <c r="D124" s="7"/>
      <c r="E124" s="7"/>
      <c r="F124" s="94" t="s">
        <v>445</v>
      </c>
      <c r="G124" s="8" t="s">
        <v>48</v>
      </c>
      <c r="H124" s="94" t="s">
        <v>445</v>
      </c>
      <c r="I124" s="94">
        <v>40897236</v>
      </c>
      <c r="J124" s="94" t="s">
        <v>446</v>
      </c>
      <c r="K124" s="94" t="s">
        <v>447</v>
      </c>
      <c r="L124" s="94">
        <v>40135154</v>
      </c>
      <c r="M124" s="7" t="s">
        <v>448</v>
      </c>
      <c r="N124" s="7" t="s">
        <v>347</v>
      </c>
      <c r="O124" s="94" t="s">
        <v>449</v>
      </c>
      <c r="P124" s="8">
        <v>2013</v>
      </c>
      <c r="Q124" s="10">
        <v>41515</v>
      </c>
      <c r="R124" s="7" t="s">
        <v>57</v>
      </c>
      <c r="S124" s="7" t="s">
        <v>2193</v>
      </c>
      <c r="T124" s="93">
        <v>1156328798</v>
      </c>
    </row>
    <row r="125" spans="1:20">
      <c r="A125" s="7" t="s">
        <v>2194</v>
      </c>
      <c r="B125" s="102" t="s">
        <v>2195</v>
      </c>
      <c r="C125" s="7"/>
      <c r="D125" s="7"/>
      <c r="E125" s="7"/>
      <c r="F125" s="94" t="s">
        <v>137</v>
      </c>
      <c r="G125" s="8" t="s">
        <v>48</v>
      </c>
      <c r="H125" s="94" t="s">
        <v>137</v>
      </c>
      <c r="I125" s="94">
        <v>10082527</v>
      </c>
      <c r="J125" s="94" t="s">
        <v>450</v>
      </c>
      <c r="K125" s="94" t="s">
        <v>137</v>
      </c>
      <c r="L125" s="94">
        <v>10082527</v>
      </c>
      <c r="M125" s="7" t="s">
        <v>451</v>
      </c>
      <c r="N125" s="7" t="s">
        <v>26</v>
      </c>
      <c r="O125" s="94" t="s">
        <v>300</v>
      </c>
      <c r="P125" s="8">
        <v>2022</v>
      </c>
      <c r="Q125" s="10">
        <v>44818</v>
      </c>
      <c r="R125" s="7" t="s">
        <v>22</v>
      </c>
      <c r="S125" s="7" t="s">
        <v>2196</v>
      </c>
      <c r="T125" s="93">
        <v>1141473182</v>
      </c>
    </row>
    <row r="126" spans="1:20">
      <c r="A126" s="7" t="s">
        <v>2197</v>
      </c>
      <c r="B126" s="102" t="s">
        <v>2198</v>
      </c>
      <c r="C126" s="7"/>
      <c r="D126" s="7"/>
      <c r="E126" s="7"/>
      <c r="F126" s="94" t="s">
        <v>452</v>
      </c>
      <c r="G126" s="8" t="s">
        <v>48</v>
      </c>
      <c r="H126" s="94" t="s">
        <v>452</v>
      </c>
      <c r="I126" s="94">
        <v>12388540</v>
      </c>
      <c r="J126" s="94" t="s">
        <v>453</v>
      </c>
      <c r="K126" s="94" t="s">
        <v>452</v>
      </c>
      <c r="L126" s="94">
        <v>27444088</v>
      </c>
      <c r="M126" s="7" t="s">
        <v>454</v>
      </c>
      <c r="N126" s="7" t="s">
        <v>20</v>
      </c>
      <c r="O126" s="94" t="s">
        <v>455</v>
      </c>
      <c r="P126" s="8">
        <v>2013</v>
      </c>
      <c r="Q126" s="10">
        <v>41428</v>
      </c>
      <c r="R126" s="7" t="s">
        <v>22</v>
      </c>
      <c r="S126" s="7" t="s">
        <v>2199</v>
      </c>
      <c r="T126" s="93">
        <v>1127333843</v>
      </c>
    </row>
    <row r="127" spans="1:20">
      <c r="A127" s="101" t="s">
        <v>2200</v>
      </c>
      <c r="B127" s="102" t="s">
        <v>2201</v>
      </c>
      <c r="C127" s="7"/>
      <c r="D127" s="7"/>
      <c r="E127" s="7"/>
      <c r="F127" s="94" t="s">
        <v>468</v>
      </c>
      <c r="G127" s="8" t="s">
        <v>48</v>
      </c>
      <c r="H127" s="94" t="s">
        <v>468</v>
      </c>
      <c r="I127" s="94">
        <v>31160689</v>
      </c>
      <c r="J127" s="94" t="s">
        <v>469</v>
      </c>
      <c r="K127" s="94" t="s">
        <v>468</v>
      </c>
      <c r="L127" s="94">
        <v>31160689</v>
      </c>
      <c r="M127" s="7" t="s">
        <v>470</v>
      </c>
      <c r="N127" s="7" t="s">
        <v>12</v>
      </c>
      <c r="O127" s="94" t="s">
        <v>471</v>
      </c>
      <c r="P127" s="8">
        <v>2016</v>
      </c>
      <c r="Q127" s="10">
        <v>42459</v>
      </c>
      <c r="R127" s="7" t="s">
        <v>57</v>
      </c>
      <c r="S127" s="7" t="s">
        <v>2202</v>
      </c>
      <c r="T127" s="93">
        <v>1153497388</v>
      </c>
    </row>
    <row r="128" spans="1:20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8"/>
      <c r="Q128" s="7"/>
      <c r="R128" s="7"/>
      <c r="S128" s="7"/>
      <c r="T128" s="7"/>
    </row>
    <row r="129" spans="1:20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8"/>
      <c r="Q129" s="7"/>
      <c r="R129" s="7"/>
      <c r="S129" s="7"/>
      <c r="T129" s="7"/>
    </row>
    <row r="130" spans="1:20">
      <c r="G130" s="17"/>
      <c r="P130" s="17"/>
    </row>
    <row r="131" spans="1:20">
      <c r="G131" s="17"/>
      <c r="P131" s="17"/>
    </row>
    <row r="132" spans="1:20">
      <c r="G132" s="17"/>
      <c r="P132" s="17"/>
    </row>
    <row r="133" spans="1:20">
      <c r="G133" s="17"/>
      <c r="P133" s="17"/>
    </row>
    <row r="134" spans="1:20">
      <c r="G134" s="17"/>
      <c r="P134" s="17"/>
    </row>
    <row r="135" spans="1:20">
      <c r="G135" s="17"/>
      <c r="P135" s="17"/>
    </row>
    <row r="136" spans="1:20">
      <c r="G136" s="17"/>
      <c r="P136" s="17"/>
    </row>
    <row r="137" spans="1:20">
      <c r="G137" s="17"/>
      <c r="P137" s="17"/>
    </row>
    <row r="138" spans="1:20">
      <c r="G138" s="17"/>
      <c r="P138" s="17"/>
    </row>
    <row r="139" spans="1:20">
      <c r="G139" s="17"/>
      <c r="P139" s="17"/>
    </row>
    <row r="140" spans="1:20">
      <c r="G140" s="17"/>
      <c r="P140" s="17"/>
    </row>
    <row r="141" spans="1:20">
      <c r="G141" s="17"/>
      <c r="P141" s="17"/>
    </row>
    <row r="142" spans="1:20">
      <c r="G142" s="17"/>
      <c r="P142" s="17"/>
    </row>
    <row r="143" spans="1:20">
      <c r="G143" s="17"/>
      <c r="P143" s="17"/>
    </row>
    <row r="144" spans="1:20">
      <c r="G144" s="17"/>
      <c r="P144" s="17"/>
    </row>
    <row r="145" spans="7:16">
      <c r="G145" s="17"/>
      <c r="P145" s="17"/>
    </row>
    <row r="146" spans="7:16">
      <c r="G146" s="17"/>
      <c r="P146" s="17"/>
    </row>
    <row r="147" spans="7:16">
      <c r="G147" s="17"/>
      <c r="P147" s="17"/>
    </row>
    <row r="148" spans="7:16">
      <c r="G148" s="17"/>
      <c r="P148" s="17"/>
    </row>
    <row r="149" spans="7:16">
      <c r="G149" s="17"/>
      <c r="P149" s="17"/>
    </row>
    <row r="150" spans="7:16">
      <c r="G150" s="17"/>
      <c r="P150" s="17"/>
    </row>
    <row r="151" spans="7:16">
      <c r="G151" s="17"/>
      <c r="P151" s="17"/>
    </row>
    <row r="152" spans="7:16">
      <c r="G152" s="17"/>
      <c r="P152" s="17"/>
    </row>
    <row r="153" spans="7:16">
      <c r="G153" s="17"/>
      <c r="P153" s="17"/>
    </row>
    <row r="154" spans="7:16">
      <c r="G154" s="17"/>
      <c r="P154" s="17"/>
    </row>
    <row r="155" spans="7:16">
      <c r="G155" s="17"/>
      <c r="P155" s="17"/>
    </row>
    <row r="156" spans="7:16">
      <c r="G156" s="17"/>
      <c r="P156" s="17"/>
    </row>
    <row r="157" spans="7:16">
      <c r="G157" s="17"/>
      <c r="P157" s="17"/>
    </row>
    <row r="158" spans="7:16">
      <c r="G158" s="17"/>
      <c r="P158" s="17"/>
    </row>
    <row r="159" spans="7:16">
      <c r="G159" s="17"/>
      <c r="P159" s="17"/>
    </row>
    <row r="160" spans="7:16">
      <c r="G160" s="17"/>
      <c r="P160" s="17"/>
    </row>
    <row r="161" spans="7:16">
      <c r="G161" s="17"/>
      <c r="P161" s="17"/>
    </row>
    <row r="162" spans="7:16">
      <c r="G162" s="17"/>
      <c r="P162" s="17"/>
    </row>
    <row r="163" spans="7:16">
      <c r="G163" s="17"/>
      <c r="P163" s="17"/>
    </row>
    <row r="164" spans="7:16">
      <c r="G164" s="17"/>
      <c r="P164" s="17"/>
    </row>
    <row r="165" spans="7:16">
      <c r="G165" s="17"/>
      <c r="P165" s="17"/>
    </row>
    <row r="166" spans="7:16">
      <c r="G166" s="17"/>
      <c r="P166" s="17"/>
    </row>
    <row r="167" spans="7:16">
      <c r="G167" s="17"/>
      <c r="P167" s="17"/>
    </row>
    <row r="168" spans="7:16">
      <c r="G168" s="17"/>
      <c r="P168" s="17"/>
    </row>
    <row r="169" spans="7:16">
      <c r="G169" s="17"/>
      <c r="P169" s="17"/>
    </row>
    <row r="170" spans="7:16">
      <c r="G170" s="17"/>
      <c r="P170" s="17"/>
    </row>
    <row r="171" spans="7:16">
      <c r="G171" s="17"/>
      <c r="P171" s="17"/>
    </row>
    <row r="172" spans="7:16">
      <c r="G172" s="17"/>
      <c r="P172" s="17"/>
    </row>
    <row r="173" spans="7:16">
      <c r="G173" s="17"/>
      <c r="P173" s="17"/>
    </row>
    <row r="174" spans="7:16">
      <c r="G174" s="17"/>
      <c r="P174" s="17"/>
    </row>
    <row r="175" spans="7:16">
      <c r="G175" s="17"/>
      <c r="P175" s="17"/>
    </row>
    <row r="176" spans="7:16">
      <c r="G176" s="17"/>
      <c r="P176" s="17"/>
    </row>
    <row r="177" spans="7:16">
      <c r="G177" s="17"/>
      <c r="P177" s="17"/>
    </row>
    <row r="178" spans="7:16">
      <c r="G178" s="17"/>
      <c r="P178" s="17"/>
    </row>
    <row r="179" spans="7:16">
      <c r="G179" s="17"/>
      <c r="P179" s="17"/>
    </row>
    <row r="180" spans="7:16">
      <c r="G180" s="17"/>
      <c r="P180" s="17"/>
    </row>
    <row r="181" spans="7:16">
      <c r="G181" s="17"/>
      <c r="P181" s="17"/>
    </row>
    <row r="182" spans="7:16">
      <c r="G182" s="17"/>
      <c r="P182" s="17"/>
    </row>
    <row r="183" spans="7:16">
      <c r="G183" s="17"/>
      <c r="P183" s="17"/>
    </row>
    <row r="184" spans="7:16">
      <c r="G184" s="17"/>
      <c r="P184" s="17"/>
    </row>
    <row r="185" spans="7:16">
      <c r="G185" s="17"/>
      <c r="P185" s="17"/>
    </row>
    <row r="186" spans="7:16">
      <c r="G186" s="17"/>
      <c r="P186" s="17"/>
    </row>
    <row r="187" spans="7:16">
      <c r="G187" s="17"/>
      <c r="P187" s="17"/>
    </row>
    <row r="188" spans="7:16">
      <c r="G188" s="17"/>
      <c r="P188" s="17"/>
    </row>
    <row r="189" spans="7:16">
      <c r="G189" s="17"/>
      <c r="P189" s="17"/>
    </row>
    <row r="190" spans="7:16">
      <c r="G190" s="17"/>
      <c r="P190" s="17"/>
    </row>
    <row r="191" spans="7:16">
      <c r="G191" s="17"/>
      <c r="P191" s="17"/>
    </row>
    <row r="192" spans="7:16">
      <c r="G192" s="17"/>
      <c r="P192" s="17"/>
    </row>
    <row r="193" spans="7:16">
      <c r="G193" s="17"/>
      <c r="P193" s="17"/>
    </row>
    <row r="194" spans="7:16">
      <c r="G194" s="17"/>
      <c r="P194" s="17"/>
    </row>
    <row r="195" spans="7:16">
      <c r="G195" s="17"/>
      <c r="P195" s="17"/>
    </row>
    <row r="196" spans="7:16">
      <c r="G196" s="17"/>
      <c r="P196" s="17"/>
    </row>
    <row r="197" spans="7:16">
      <c r="G197" s="17"/>
      <c r="P197" s="17"/>
    </row>
    <row r="198" spans="7:16">
      <c r="G198" s="17"/>
      <c r="P198" s="17"/>
    </row>
    <row r="199" spans="7:16">
      <c r="G199" s="17"/>
      <c r="P199" s="17"/>
    </row>
    <row r="200" spans="7:16">
      <c r="G200" s="17"/>
      <c r="P200" s="17"/>
    </row>
    <row r="201" spans="7:16">
      <c r="G201" s="17"/>
      <c r="P201" s="17"/>
    </row>
    <row r="202" spans="7:16">
      <c r="G202" s="17"/>
      <c r="P202" s="17"/>
    </row>
    <row r="203" spans="7:16">
      <c r="G203" s="17"/>
      <c r="P203" s="17"/>
    </row>
    <row r="204" spans="7:16">
      <c r="G204" s="17"/>
      <c r="P204" s="17"/>
    </row>
    <row r="205" spans="7:16">
      <c r="G205" s="17"/>
      <c r="P205" s="17"/>
    </row>
    <row r="206" spans="7:16">
      <c r="G206" s="17"/>
      <c r="P206" s="17"/>
    </row>
    <row r="207" spans="7:16">
      <c r="G207" s="17"/>
      <c r="P207" s="17"/>
    </row>
    <row r="208" spans="7:16">
      <c r="G208" s="17"/>
      <c r="P208" s="17"/>
    </row>
    <row r="209" spans="7:16">
      <c r="G209" s="17"/>
      <c r="P209" s="17"/>
    </row>
    <row r="210" spans="7:16">
      <c r="G210" s="17"/>
      <c r="P210" s="17"/>
    </row>
    <row r="211" spans="7:16">
      <c r="G211" s="17"/>
      <c r="P211" s="17"/>
    </row>
    <row r="212" spans="7:16">
      <c r="G212" s="17"/>
      <c r="P212" s="17"/>
    </row>
    <row r="213" spans="7:16">
      <c r="G213" s="17"/>
      <c r="P213" s="17"/>
    </row>
    <row r="214" spans="7:16">
      <c r="G214" s="17"/>
      <c r="P214" s="17"/>
    </row>
    <row r="215" spans="7:16">
      <c r="G215" s="17"/>
      <c r="P215" s="17"/>
    </row>
    <row r="216" spans="7:16">
      <c r="G216" s="17"/>
      <c r="P216" s="17"/>
    </row>
    <row r="217" spans="7:16">
      <c r="G217" s="17"/>
      <c r="P217" s="17"/>
    </row>
    <row r="218" spans="7:16">
      <c r="G218" s="17"/>
      <c r="P218" s="17"/>
    </row>
    <row r="219" spans="7:16">
      <c r="G219" s="17"/>
      <c r="P219" s="17"/>
    </row>
    <row r="220" spans="7:16">
      <c r="G220" s="17"/>
      <c r="P220" s="17"/>
    </row>
    <row r="221" spans="7:16">
      <c r="G221" s="17"/>
      <c r="P221" s="17"/>
    </row>
    <row r="222" spans="7:16">
      <c r="G222" s="17"/>
      <c r="P222" s="17"/>
    </row>
    <row r="223" spans="7:16">
      <c r="G223" s="17"/>
      <c r="P223" s="17"/>
    </row>
    <row r="224" spans="7:16">
      <c r="G224" s="17"/>
      <c r="P224" s="17"/>
    </row>
    <row r="225" spans="7:16">
      <c r="G225" s="17"/>
      <c r="P225" s="17"/>
    </row>
    <row r="226" spans="7:16">
      <c r="G226" s="17"/>
      <c r="P226" s="17"/>
    </row>
    <row r="227" spans="7:16">
      <c r="G227" s="17"/>
      <c r="P227" s="17"/>
    </row>
    <row r="228" spans="7:16">
      <c r="G228" s="17"/>
      <c r="P228" s="17"/>
    </row>
    <row r="229" spans="7:16">
      <c r="G229" s="17"/>
      <c r="P229" s="17"/>
    </row>
    <row r="230" spans="7:16">
      <c r="G230" s="17"/>
      <c r="P230" s="17"/>
    </row>
    <row r="231" spans="7:16">
      <c r="G231" s="17"/>
      <c r="P231" s="17"/>
    </row>
    <row r="232" spans="7:16">
      <c r="G232" s="17"/>
      <c r="P232" s="17"/>
    </row>
    <row r="233" spans="7:16">
      <c r="G233" s="17"/>
      <c r="P233" s="17"/>
    </row>
    <row r="234" spans="7:16">
      <c r="G234" s="17"/>
      <c r="P234" s="17"/>
    </row>
    <row r="235" spans="7:16">
      <c r="G235" s="17"/>
      <c r="P235" s="17"/>
    </row>
    <row r="236" spans="7:16">
      <c r="G236" s="17"/>
      <c r="P236" s="17"/>
    </row>
    <row r="237" spans="7:16">
      <c r="G237" s="17"/>
      <c r="P237" s="17"/>
    </row>
    <row r="238" spans="7:16">
      <c r="G238" s="17"/>
      <c r="P238" s="17"/>
    </row>
    <row r="239" spans="7:16">
      <c r="G239" s="17"/>
      <c r="P239" s="17"/>
    </row>
    <row r="240" spans="7:16">
      <c r="G240" s="17"/>
      <c r="P240" s="17"/>
    </row>
    <row r="241" spans="7:16">
      <c r="G241" s="17"/>
      <c r="P241" s="17"/>
    </row>
    <row r="242" spans="7:16">
      <c r="G242" s="17"/>
      <c r="P242" s="17"/>
    </row>
    <row r="243" spans="7:16">
      <c r="G243" s="17"/>
      <c r="P243" s="17"/>
    </row>
    <row r="244" spans="7:16">
      <c r="G244" s="17"/>
      <c r="P244" s="17"/>
    </row>
    <row r="245" spans="7:16">
      <c r="G245" s="17"/>
      <c r="P245" s="17"/>
    </row>
    <row r="246" spans="7:16">
      <c r="G246" s="17"/>
      <c r="P246" s="17"/>
    </row>
    <row r="247" spans="7:16">
      <c r="G247" s="17"/>
      <c r="P247" s="17"/>
    </row>
    <row r="248" spans="7:16">
      <c r="G248" s="17"/>
      <c r="P248" s="17"/>
    </row>
    <row r="249" spans="7:16">
      <c r="G249" s="17"/>
      <c r="P249" s="17"/>
    </row>
    <row r="250" spans="7:16">
      <c r="G250" s="17"/>
      <c r="P250" s="17"/>
    </row>
    <row r="251" spans="7:16">
      <c r="G251" s="17"/>
      <c r="P251" s="17"/>
    </row>
    <row r="252" spans="7:16">
      <c r="G252" s="17"/>
      <c r="P252" s="17"/>
    </row>
    <row r="253" spans="7:16">
      <c r="G253" s="17"/>
      <c r="P253" s="17"/>
    </row>
    <row r="254" spans="7:16">
      <c r="G254" s="17"/>
      <c r="P254" s="17"/>
    </row>
    <row r="255" spans="7:16">
      <c r="G255" s="17"/>
      <c r="P255" s="17"/>
    </row>
    <row r="256" spans="7:16">
      <c r="G256" s="17"/>
      <c r="P256" s="17"/>
    </row>
    <row r="257" spans="7:16">
      <c r="G257" s="17"/>
      <c r="P257" s="17"/>
    </row>
    <row r="258" spans="7:16">
      <c r="G258" s="17"/>
      <c r="P258" s="17"/>
    </row>
    <row r="259" spans="7:16">
      <c r="G259" s="17"/>
      <c r="P259" s="17"/>
    </row>
    <row r="260" spans="7:16">
      <c r="G260" s="17"/>
      <c r="P260" s="17"/>
    </row>
    <row r="261" spans="7:16">
      <c r="G261" s="17"/>
      <c r="P261" s="17"/>
    </row>
    <row r="262" spans="7:16">
      <c r="G262" s="17"/>
      <c r="P262" s="17"/>
    </row>
    <row r="263" spans="7:16">
      <c r="G263" s="17"/>
      <c r="P263" s="17"/>
    </row>
    <row r="264" spans="7:16">
      <c r="G264" s="17"/>
      <c r="P264" s="17"/>
    </row>
    <row r="265" spans="7:16">
      <c r="G265" s="17"/>
      <c r="P265" s="17"/>
    </row>
    <row r="266" spans="7:16">
      <c r="G266" s="17"/>
      <c r="P266" s="17"/>
    </row>
    <row r="267" spans="7:16">
      <c r="G267" s="17"/>
      <c r="P267" s="17"/>
    </row>
    <row r="268" spans="7:16">
      <c r="G268" s="17"/>
      <c r="P268" s="17"/>
    </row>
    <row r="269" spans="7:16">
      <c r="G269" s="17"/>
      <c r="P269" s="17"/>
    </row>
    <row r="270" spans="7:16">
      <c r="G270" s="17"/>
      <c r="P270" s="17"/>
    </row>
    <row r="271" spans="7:16">
      <c r="G271" s="17"/>
      <c r="P271" s="17"/>
    </row>
    <row r="272" spans="7:16">
      <c r="G272" s="17"/>
      <c r="P272" s="17"/>
    </row>
    <row r="273" spans="7:16">
      <c r="G273" s="17"/>
      <c r="P273" s="17"/>
    </row>
    <row r="274" spans="7:16">
      <c r="G274" s="17"/>
      <c r="P274" s="17"/>
    </row>
    <row r="275" spans="7:16">
      <c r="G275" s="17"/>
      <c r="P275" s="17"/>
    </row>
    <row r="276" spans="7:16">
      <c r="G276" s="17"/>
      <c r="P276" s="17"/>
    </row>
    <row r="277" spans="7:16">
      <c r="G277" s="17"/>
      <c r="P277" s="17"/>
    </row>
    <row r="278" spans="7:16">
      <c r="G278" s="17"/>
      <c r="P278" s="17"/>
    </row>
    <row r="279" spans="7:16">
      <c r="G279" s="17"/>
      <c r="P279" s="17"/>
    </row>
    <row r="280" spans="7:16">
      <c r="G280" s="17"/>
      <c r="P280" s="17"/>
    </row>
    <row r="281" spans="7:16">
      <c r="G281" s="17"/>
      <c r="P281" s="17"/>
    </row>
    <row r="282" spans="7:16">
      <c r="G282" s="17"/>
      <c r="P282" s="17"/>
    </row>
    <row r="283" spans="7:16">
      <c r="G283" s="17"/>
      <c r="P283" s="17"/>
    </row>
    <row r="284" spans="7:16">
      <c r="G284" s="17"/>
      <c r="P284" s="17"/>
    </row>
    <row r="285" spans="7:16">
      <c r="G285" s="17"/>
      <c r="P285" s="17"/>
    </row>
    <row r="286" spans="7:16">
      <c r="G286" s="17"/>
      <c r="P286" s="17"/>
    </row>
    <row r="287" spans="7:16">
      <c r="G287" s="17"/>
      <c r="P287" s="17"/>
    </row>
    <row r="288" spans="7:16">
      <c r="G288" s="17"/>
      <c r="P288" s="17"/>
    </row>
    <row r="289" spans="7:16">
      <c r="G289" s="17"/>
      <c r="P289" s="17"/>
    </row>
    <row r="290" spans="7:16">
      <c r="G290" s="17"/>
      <c r="P290" s="17"/>
    </row>
    <row r="291" spans="7:16">
      <c r="G291" s="17"/>
      <c r="P291" s="17"/>
    </row>
    <row r="292" spans="7:16">
      <c r="G292" s="17"/>
      <c r="P292" s="17"/>
    </row>
    <row r="293" spans="7:16">
      <c r="G293" s="17"/>
      <c r="P293" s="17"/>
    </row>
    <row r="294" spans="7:16">
      <c r="G294" s="17"/>
      <c r="P294" s="17"/>
    </row>
    <row r="295" spans="7:16">
      <c r="G295" s="17"/>
      <c r="P295" s="17"/>
    </row>
    <row r="296" spans="7:16">
      <c r="G296" s="17"/>
      <c r="P296" s="17"/>
    </row>
    <row r="297" spans="7:16">
      <c r="G297" s="17"/>
      <c r="P297" s="17"/>
    </row>
    <row r="298" spans="7:16">
      <c r="G298" s="17"/>
      <c r="P298" s="17"/>
    </row>
    <row r="299" spans="7:16">
      <c r="G299" s="17"/>
      <c r="P299" s="17"/>
    </row>
    <row r="300" spans="7:16">
      <c r="G300" s="17"/>
      <c r="P300" s="17"/>
    </row>
    <row r="301" spans="7:16">
      <c r="G301" s="17"/>
      <c r="P301" s="17"/>
    </row>
    <row r="302" spans="7:16">
      <c r="G302" s="17"/>
      <c r="P302" s="17"/>
    </row>
    <row r="303" spans="7:16">
      <c r="G303" s="17"/>
      <c r="P303" s="17"/>
    </row>
    <row r="304" spans="7:16">
      <c r="G304" s="17"/>
      <c r="P304" s="17"/>
    </row>
    <row r="305" spans="7:16">
      <c r="G305" s="17"/>
      <c r="P305" s="17"/>
    </row>
    <row r="306" spans="7:16">
      <c r="G306" s="17"/>
      <c r="P306" s="17"/>
    </row>
    <row r="307" spans="7:16">
      <c r="G307" s="17"/>
      <c r="P307" s="17"/>
    </row>
    <row r="308" spans="7:16">
      <c r="G308" s="17"/>
      <c r="P308" s="17"/>
    </row>
    <row r="309" spans="7:16">
      <c r="G309" s="17"/>
      <c r="P309" s="17"/>
    </row>
    <row r="310" spans="7:16">
      <c r="G310" s="17"/>
      <c r="P310" s="17"/>
    </row>
    <row r="311" spans="7:16">
      <c r="G311" s="17"/>
      <c r="P311" s="17"/>
    </row>
    <row r="312" spans="7:16">
      <c r="G312" s="17"/>
      <c r="P312" s="17"/>
    </row>
    <row r="313" spans="7:16">
      <c r="G313" s="17"/>
      <c r="P313" s="17"/>
    </row>
    <row r="314" spans="7:16">
      <c r="G314" s="17"/>
      <c r="P314" s="17"/>
    </row>
    <row r="315" spans="7:16">
      <c r="G315" s="17"/>
      <c r="P315" s="17"/>
    </row>
    <row r="316" spans="7:16">
      <c r="G316" s="17"/>
      <c r="P316" s="17"/>
    </row>
    <row r="317" spans="7:16">
      <c r="G317" s="17"/>
      <c r="P317" s="17"/>
    </row>
    <row r="318" spans="7:16">
      <c r="G318" s="17"/>
      <c r="P318" s="17"/>
    </row>
    <row r="319" spans="7:16">
      <c r="G319" s="17"/>
      <c r="P319" s="17"/>
    </row>
    <row r="320" spans="7:16">
      <c r="G320" s="17"/>
      <c r="P320" s="17"/>
    </row>
    <row r="321" spans="7:16">
      <c r="G321" s="17"/>
      <c r="P321" s="17"/>
    </row>
    <row r="322" spans="7:16">
      <c r="G322" s="17"/>
      <c r="P322" s="17"/>
    </row>
    <row r="323" spans="7:16">
      <c r="G323" s="17"/>
      <c r="P323" s="17"/>
    </row>
    <row r="324" spans="7:16">
      <c r="G324" s="17"/>
      <c r="P324" s="17"/>
    </row>
    <row r="325" spans="7:16">
      <c r="G325" s="17"/>
      <c r="P325" s="17"/>
    </row>
    <row r="326" spans="7:16">
      <c r="G326" s="17"/>
      <c r="P326" s="17"/>
    </row>
    <row r="327" spans="7:16">
      <c r="G327" s="17"/>
      <c r="P327" s="17"/>
    </row>
    <row r="328" spans="7:16">
      <c r="G328" s="17"/>
      <c r="P328" s="17"/>
    </row>
    <row r="329" spans="7:16">
      <c r="G329" s="17"/>
      <c r="P329" s="17"/>
    </row>
    <row r="330" spans="7:16">
      <c r="G330" s="17"/>
      <c r="P330" s="17"/>
    </row>
    <row r="331" spans="7:16">
      <c r="G331" s="17"/>
      <c r="P331" s="17"/>
    </row>
    <row r="332" spans="7:16">
      <c r="G332" s="17"/>
      <c r="P332" s="17"/>
    </row>
    <row r="333" spans="7:16">
      <c r="G333" s="17"/>
      <c r="P333" s="17"/>
    </row>
    <row r="334" spans="7:16">
      <c r="G334" s="17"/>
      <c r="P334" s="17"/>
    </row>
    <row r="335" spans="7:16">
      <c r="G335" s="17"/>
      <c r="P335" s="17"/>
    </row>
    <row r="336" spans="7:16">
      <c r="G336" s="17"/>
      <c r="P336" s="17"/>
    </row>
    <row r="337" spans="7:16">
      <c r="G337" s="17"/>
      <c r="P337" s="17"/>
    </row>
    <row r="338" spans="7:16">
      <c r="G338" s="17"/>
      <c r="P338" s="17"/>
    </row>
    <row r="339" spans="7:16">
      <c r="G339" s="17"/>
      <c r="P339" s="17"/>
    </row>
    <row r="340" spans="7:16">
      <c r="G340" s="17"/>
      <c r="P340" s="17"/>
    </row>
    <row r="341" spans="7:16">
      <c r="G341" s="17"/>
      <c r="P341" s="17"/>
    </row>
    <row r="342" spans="7:16">
      <c r="G342" s="17"/>
      <c r="P342" s="17"/>
    </row>
    <row r="343" spans="7:16">
      <c r="G343" s="17"/>
      <c r="P343" s="17"/>
    </row>
    <row r="344" spans="7:16">
      <c r="G344" s="17"/>
      <c r="P344" s="17"/>
    </row>
    <row r="345" spans="7:16">
      <c r="G345" s="17"/>
      <c r="P345" s="17"/>
    </row>
    <row r="346" spans="7:16">
      <c r="G346" s="17"/>
      <c r="P346" s="17"/>
    </row>
    <row r="347" spans="7:16">
      <c r="G347" s="17"/>
      <c r="P347" s="17"/>
    </row>
    <row r="348" spans="7:16">
      <c r="G348" s="17"/>
      <c r="P348" s="17"/>
    </row>
    <row r="349" spans="7:16">
      <c r="G349" s="17"/>
      <c r="P349" s="17"/>
    </row>
    <row r="350" spans="7:16">
      <c r="G350" s="17"/>
      <c r="P350" s="17"/>
    </row>
    <row r="351" spans="7:16">
      <c r="G351" s="17"/>
      <c r="P351" s="17"/>
    </row>
    <row r="352" spans="7:16">
      <c r="G352" s="17"/>
      <c r="P352" s="17"/>
    </row>
    <row r="353" spans="7:16">
      <c r="G353" s="17"/>
      <c r="P353" s="17"/>
    </row>
    <row r="354" spans="7:16">
      <c r="G354" s="17"/>
      <c r="P354" s="17"/>
    </row>
    <row r="355" spans="7:16">
      <c r="G355" s="17"/>
      <c r="P355" s="17"/>
    </row>
    <row r="356" spans="7:16">
      <c r="G356" s="17"/>
      <c r="P356" s="17"/>
    </row>
    <row r="357" spans="7:16">
      <c r="G357" s="17"/>
      <c r="P357" s="17"/>
    </row>
    <row r="358" spans="7:16">
      <c r="G358" s="17"/>
      <c r="P358" s="17"/>
    </row>
    <row r="359" spans="7:16">
      <c r="G359" s="17"/>
      <c r="P359" s="17"/>
    </row>
    <row r="360" spans="7:16">
      <c r="G360" s="17"/>
      <c r="P360" s="17"/>
    </row>
    <row r="361" spans="7:16">
      <c r="G361" s="17"/>
      <c r="P361" s="17"/>
    </row>
    <row r="362" spans="7:16">
      <c r="G362" s="17"/>
      <c r="P362" s="17"/>
    </row>
    <row r="363" spans="7:16">
      <c r="G363" s="17"/>
      <c r="P363" s="17"/>
    </row>
    <row r="364" spans="7:16">
      <c r="G364" s="17"/>
      <c r="P364" s="17"/>
    </row>
    <row r="365" spans="7:16">
      <c r="G365" s="17"/>
      <c r="P365" s="17"/>
    </row>
    <row r="366" spans="7:16">
      <c r="G366" s="17"/>
      <c r="P366" s="17"/>
    </row>
    <row r="367" spans="7:16">
      <c r="G367" s="17"/>
      <c r="P367" s="17"/>
    </row>
    <row r="368" spans="7:16">
      <c r="G368" s="17"/>
      <c r="P368" s="17"/>
    </row>
    <row r="369" spans="7:16">
      <c r="G369" s="17"/>
      <c r="P369" s="17"/>
    </row>
    <row r="370" spans="7:16">
      <c r="G370" s="17"/>
      <c r="P370" s="17"/>
    </row>
    <row r="371" spans="7:16">
      <c r="G371" s="17"/>
      <c r="P371" s="17"/>
    </row>
    <row r="372" spans="7:16">
      <c r="G372" s="17"/>
      <c r="P372" s="17"/>
    </row>
    <row r="373" spans="7:16">
      <c r="G373" s="17"/>
      <c r="P373" s="17"/>
    </row>
    <row r="374" spans="7:16">
      <c r="G374" s="17"/>
      <c r="P374" s="17"/>
    </row>
    <row r="375" spans="7:16">
      <c r="G375" s="17"/>
      <c r="P375" s="17"/>
    </row>
    <row r="376" spans="7:16">
      <c r="G376" s="17"/>
      <c r="P376" s="17"/>
    </row>
    <row r="377" spans="7:16">
      <c r="G377" s="17"/>
      <c r="P377" s="17"/>
    </row>
    <row r="378" spans="7:16">
      <c r="G378" s="17"/>
      <c r="P378" s="17"/>
    </row>
    <row r="379" spans="7:16">
      <c r="G379" s="17"/>
      <c r="P379" s="17"/>
    </row>
    <row r="380" spans="7:16">
      <c r="G380" s="17"/>
      <c r="P380" s="17"/>
    </row>
    <row r="381" spans="7:16">
      <c r="G381" s="17"/>
      <c r="P381" s="17"/>
    </row>
    <row r="382" spans="7:16">
      <c r="G382" s="17"/>
      <c r="P382" s="17"/>
    </row>
    <row r="383" spans="7:16">
      <c r="G383" s="17"/>
      <c r="P383" s="17"/>
    </row>
    <row r="384" spans="7:16">
      <c r="G384" s="17"/>
      <c r="P384" s="17"/>
    </row>
    <row r="385" spans="7:16">
      <c r="G385" s="17"/>
      <c r="P385" s="17"/>
    </row>
    <row r="386" spans="7:16">
      <c r="G386" s="17"/>
      <c r="P386" s="17"/>
    </row>
    <row r="387" spans="7:16">
      <c r="G387" s="17"/>
      <c r="P387" s="17"/>
    </row>
    <row r="388" spans="7:16">
      <c r="G388" s="17"/>
      <c r="P388" s="17"/>
    </row>
    <row r="389" spans="7:16">
      <c r="G389" s="17"/>
      <c r="P389" s="17"/>
    </row>
    <row r="390" spans="7:16">
      <c r="G390" s="17"/>
      <c r="P390" s="17"/>
    </row>
    <row r="391" spans="7:16">
      <c r="G391" s="17"/>
      <c r="P391" s="17"/>
    </row>
    <row r="392" spans="7:16">
      <c r="G392" s="17"/>
      <c r="P392" s="17"/>
    </row>
    <row r="393" spans="7:16">
      <c r="G393" s="17"/>
      <c r="P393" s="17"/>
    </row>
    <row r="394" spans="7:16">
      <c r="G394" s="17"/>
      <c r="P394" s="17"/>
    </row>
    <row r="395" spans="7:16">
      <c r="G395" s="17"/>
      <c r="P395" s="17"/>
    </row>
    <row r="396" spans="7:16">
      <c r="G396" s="17"/>
      <c r="P396" s="17"/>
    </row>
    <row r="397" spans="7:16">
      <c r="G397" s="17"/>
      <c r="P397" s="17"/>
    </row>
    <row r="398" spans="7:16">
      <c r="G398" s="17"/>
      <c r="P398" s="17"/>
    </row>
    <row r="399" spans="7:16">
      <c r="G399" s="17"/>
      <c r="P399" s="17"/>
    </row>
    <row r="400" spans="7:16">
      <c r="G400" s="17"/>
      <c r="P400" s="17"/>
    </row>
    <row r="401" spans="7:16">
      <c r="G401" s="17"/>
      <c r="P401" s="17"/>
    </row>
    <row r="402" spans="7:16">
      <c r="G402" s="17"/>
      <c r="P402" s="17"/>
    </row>
    <row r="403" spans="7:16">
      <c r="G403" s="17"/>
      <c r="P403" s="17"/>
    </row>
    <row r="404" spans="7:16">
      <c r="G404" s="17"/>
      <c r="P404" s="17"/>
    </row>
    <row r="405" spans="7:16">
      <c r="G405" s="17"/>
      <c r="P405" s="17"/>
    </row>
    <row r="406" spans="7:16">
      <c r="G406" s="17"/>
      <c r="P406" s="17"/>
    </row>
    <row r="407" spans="7:16">
      <c r="G407" s="17"/>
      <c r="P407" s="17"/>
    </row>
    <row r="408" spans="7:16">
      <c r="G408" s="17"/>
      <c r="P408" s="17"/>
    </row>
    <row r="409" spans="7:16">
      <c r="G409" s="17"/>
      <c r="P409" s="17"/>
    </row>
    <row r="410" spans="7:16">
      <c r="G410" s="17"/>
      <c r="P410" s="17"/>
    </row>
    <row r="411" spans="7:16">
      <c r="G411" s="17"/>
      <c r="P411" s="17"/>
    </row>
    <row r="412" spans="7:16">
      <c r="G412" s="17"/>
      <c r="P412" s="17"/>
    </row>
    <row r="413" spans="7:16">
      <c r="G413" s="17"/>
      <c r="P413" s="17"/>
    </row>
    <row r="414" spans="7:16">
      <c r="G414" s="17"/>
      <c r="P414" s="17"/>
    </row>
    <row r="415" spans="7:16">
      <c r="G415" s="17"/>
      <c r="P415" s="17"/>
    </row>
    <row r="416" spans="7:16">
      <c r="G416" s="17"/>
      <c r="P416" s="17"/>
    </row>
    <row r="417" spans="7:16">
      <c r="G417" s="17"/>
      <c r="P417" s="17"/>
    </row>
    <row r="418" spans="7:16">
      <c r="G418" s="17"/>
      <c r="P418" s="17"/>
    </row>
    <row r="419" spans="7:16">
      <c r="G419" s="17"/>
      <c r="P419" s="17"/>
    </row>
    <row r="420" spans="7:16">
      <c r="G420" s="17"/>
      <c r="P420" s="17"/>
    </row>
    <row r="421" spans="7:16">
      <c r="G421" s="17"/>
      <c r="P421" s="17"/>
    </row>
    <row r="422" spans="7:16">
      <c r="G422" s="17"/>
      <c r="P422" s="17"/>
    </row>
    <row r="423" spans="7:16">
      <c r="G423" s="17"/>
      <c r="P423" s="17"/>
    </row>
    <row r="424" spans="7:16">
      <c r="G424" s="17"/>
      <c r="P424" s="17"/>
    </row>
    <row r="425" spans="7:16">
      <c r="G425" s="17"/>
      <c r="P425" s="17"/>
    </row>
    <row r="426" spans="7:16">
      <c r="G426" s="17"/>
      <c r="P426" s="17"/>
    </row>
    <row r="427" spans="7:16">
      <c r="G427" s="17"/>
      <c r="P427" s="17"/>
    </row>
    <row r="428" spans="7:16">
      <c r="G428" s="17"/>
      <c r="P428" s="17"/>
    </row>
    <row r="429" spans="7:16">
      <c r="G429" s="17"/>
      <c r="P429" s="17"/>
    </row>
    <row r="430" spans="7:16">
      <c r="G430" s="17"/>
      <c r="P430" s="17"/>
    </row>
    <row r="431" spans="7:16">
      <c r="G431" s="17"/>
      <c r="P431" s="17"/>
    </row>
    <row r="432" spans="7:16">
      <c r="G432" s="17"/>
      <c r="P432" s="17"/>
    </row>
    <row r="433" spans="7:16">
      <c r="G433" s="17"/>
      <c r="P433" s="17"/>
    </row>
    <row r="434" spans="7:16">
      <c r="G434" s="17"/>
      <c r="P434" s="17"/>
    </row>
    <row r="435" spans="7:16">
      <c r="G435" s="17"/>
      <c r="P435" s="17"/>
    </row>
    <row r="436" spans="7:16">
      <c r="G436" s="17"/>
      <c r="P436" s="17"/>
    </row>
    <row r="437" spans="7:16">
      <c r="G437" s="17"/>
      <c r="P437" s="17"/>
    </row>
    <row r="438" spans="7:16">
      <c r="G438" s="17"/>
      <c r="P438" s="17"/>
    </row>
    <row r="439" spans="7:16">
      <c r="G439" s="17"/>
      <c r="P439" s="17"/>
    </row>
    <row r="440" spans="7:16">
      <c r="G440" s="17"/>
      <c r="P440" s="17"/>
    </row>
    <row r="441" spans="7:16">
      <c r="G441" s="17"/>
      <c r="P441" s="17"/>
    </row>
    <row r="442" spans="7:16">
      <c r="G442" s="17"/>
      <c r="P442" s="17"/>
    </row>
    <row r="443" spans="7:16">
      <c r="G443" s="17"/>
      <c r="P443" s="17"/>
    </row>
    <row r="444" spans="7:16">
      <c r="G444" s="17"/>
      <c r="P444" s="17"/>
    </row>
    <row r="445" spans="7:16">
      <c r="G445" s="17"/>
      <c r="P445" s="17"/>
    </row>
    <row r="446" spans="7:16">
      <c r="G446" s="17"/>
      <c r="P446" s="17"/>
    </row>
    <row r="447" spans="7:16">
      <c r="G447" s="17"/>
      <c r="P447" s="17"/>
    </row>
    <row r="448" spans="7:16">
      <c r="G448" s="17"/>
      <c r="P448" s="17"/>
    </row>
    <row r="449" spans="7:16">
      <c r="G449" s="17"/>
      <c r="P449" s="17"/>
    </row>
    <row r="450" spans="7:16">
      <c r="G450" s="17"/>
      <c r="P450" s="17"/>
    </row>
    <row r="451" spans="7:16">
      <c r="G451" s="17"/>
      <c r="P451" s="17"/>
    </row>
    <row r="452" spans="7:16">
      <c r="G452" s="17"/>
      <c r="P452" s="17"/>
    </row>
    <row r="453" spans="7:16">
      <c r="G453" s="17"/>
      <c r="P453" s="17"/>
    </row>
    <row r="454" spans="7:16">
      <c r="G454" s="17"/>
      <c r="P454" s="17"/>
    </row>
    <row r="455" spans="7:16">
      <c r="G455" s="17"/>
      <c r="P455" s="17"/>
    </row>
    <row r="456" spans="7:16">
      <c r="G456" s="17"/>
      <c r="P456" s="17"/>
    </row>
    <row r="457" spans="7:16">
      <c r="G457" s="17"/>
      <c r="P457" s="17"/>
    </row>
    <row r="458" spans="7:16">
      <c r="G458" s="17"/>
      <c r="P458" s="17"/>
    </row>
    <row r="459" spans="7:16">
      <c r="G459" s="17"/>
      <c r="P459" s="17"/>
    </row>
    <row r="460" spans="7:16">
      <c r="G460" s="17"/>
      <c r="P460" s="17"/>
    </row>
    <row r="461" spans="7:16">
      <c r="G461" s="17"/>
      <c r="P461" s="17"/>
    </row>
    <row r="462" spans="7:16">
      <c r="G462" s="17"/>
      <c r="P462" s="17"/>
    </row>
    <row r="463" spans="7:16">
      <c r="G463" s="17"/>
      <c r="P463" s="17"/>
    </row>
    <row r="464" spans="7:16">
      <c r="G464" s="17"/>
      <c r="P464" s="17"/>
    </row>
    <row r="465" spans="7:16">
      <c r="G465" s="17"/>
      <c r="P465" s="17"/>
    </row>
    <row r="466" spans="7:16">
      <c r="G466" s="17"/>
      <c r="P466" s="17"/>
    </row>
    <row r="467" spans="7:16">
      <c r="G467" s="17"/>
      <c r="P467" s="17"/>
    </row>
    <row r="468" spans="7:16">
      <c r="G468" s="17"/>
      <c r="P468" s="17"/>
    </row>
    <row r="469" spans="7:16">
      <c r="G469" s="17"/>
      <c r="P469" s="17"/>
    </row>
    <row r="470" spans="7:16">
      <c r="G470" s="17"/>
      <c r="P470" s="17"/>
    </row>
    <row r="471" spans="7:16">
      <c r="G471" s="17"/>
      <c r="P471" s="17"/>
    </row>
    <row r="472" spans="7:16">
      <c r="G472" s="17"/>
      <c r="P472" s="17"/>
    </row>
    <row r="473" spans="7:16">
      <c r="G473" s="17"/>
      <c r="P473" s="17"/>
    </row>
    <row r="474" spans="7:16">
      <c r="G474" s="17"/>
      <c r="P474" s="17"/>
    </row>
    <row r="475" spans="7:16">
      <c r="G475" s="17"/>
      <c r="P475" s="17"/>
    </row>
    <row r="476" spans="7:16">
      <c r="G476" s="17"/>
      <c r="P476" s="17"/>
    </row>
    <row r="477" spans="7:16">
      <c r="G477" s="17"/>
      <c r="P477" s="17"/>
    </row>
    <row r="478" spans="7:16">
      <c r="G478" s="17"/>
      <c r="P478" s="17"/>
    </row>
    <row r="479" spans="7:16">
      <c r="G479" s="17"/>
      <c r="P479" s="17"/>
    </row>
    <row r="480" spans="7:16">
      <c r="G480" s="17"/>
      <c r="P480" s="17"/>
    </row>
    <row r="481" spans="7:16">
      <c r="G481" s="17"/>
      <c r="P481" s="17"/>
    </row>
    <row r="482" spans="7:16">
      <c r="G482" s="17"/>
      <c r="P482" s="17"/>
    </row>
    <row r="483" spans="7:16">
      <c r="G483" s="17"/>
      <c r="P483" s="17"/>
    </row>
    <row r="484" spans="7:16">
      <c r="G484" s="17"/>
      <c r="P484" s="17"/>
    </row>
    <row r="485" spans="7:16">
      <c r="G485" s="17"/>
      <c r="P485" s="17"/>
    </row>
    <row r="486" spans="7:16">
      <c r="G486" s="17"/>
      <c r="P486" s="17"/>
    </row>
    <row r="487" spans="7:16">
      <c r="G487" s="17"/>
      <c r="P487" s="17"/>
    </row>
    <row r="488" spans="7:16">
      <c r="G488" s="17"/>
      <c r="P488" s="17"/>
    </row>
    <row r="489" spans="7:16">
      <c r="G489" s="17"/>
      <c r="P489" s="17"/>
    </row>
    <row r="490" spans="7:16">
      <c r="G490" s="17"/>
      <c r="P490" s="17"/>
    </row>
    <row r="491" spans="7:16">
      <c r="G491" s="17"/>
      <c r="P491" s="17"/>
    </row>
    <row r="492" spans="7:16">
      <c r="G492" s="17"/>
      <c r="P492" s="17"/>
    </row>
    <row r="493" spans="7:16">
      <c r="G493" s="17"/>
      <c r="P493" s="17"/>
    </row>
    <row r="494" spans="7:16">
      <c r="G494" s="17"/>
      <c r="P494" s="17"/>
    </row>
    <row r="495" spans="7:16">
      <c r="G495" s="17"/>
      <c r="P495" s="17"/>
    </row>
    <row r="496" spans="7:16">
      <c r="G496" s="17"/>
      <c r="P496" s="17"/>
    </row>
    <row r="497" spans="7:16">
      <c r="G497" s="17"/>
      <c r="P497" s="17"/>
    </row>
    <row r="498" spans="7:16">
      <c r="G498" s="17"/>
      <c r="P498" s="17"/>
    </row>
    <row r="499" spans="7:16">
      <c r="G499" s="17"/>
      <c r="P499" s="17"/>
    </row>
    <row r="500" spans="7:16">
      <c r="G500" s="17"/>
      <c r="P500" s="17"/>
    </row>
    <row r="501" spans="7:16">
      <c r="G501" s="17"/>
      <c r="P501" s="17"/>
    </row>
    <row r="502" spans="7:16">
      <c r="G502" s="17"/>
      <c r="P502" s="17"/>
    </row>
    <row r="503" spans="7:16">
      <c r="G503" s="17"/>
      <c r="P503" s="17"/>
    </row>
    <row r="504" spans="7:16">
      <c r="G504" s="17"/>
      <c r="P504" s="17"/>
    </row>
    <row r="505" spans="7:16">
      <c r="G505" s="17"/>
      <c r="P505" s="17"/>
    </row>
    <row r="506" spans="7:16">
      <c r="G506" s="17"/>
      <c r="P506" s="17"/>
    </row>
    <row r="507" spans="7:16">
      <c r="G507" s="17"/>
      <c r="P507" s="17"/>
    </row>
    <row r="508" spans="7:16">
      <c r="G508" s="17"/>
      <c r="P508" s="17"/>
    </row>
    <row r="509" spans="7:16">
      <c r="G509" s="17"/>
      <c r="P509" s="17"/>
    </row>
    <row r="510" spans="7:16">
      <c r="G510" s="17"/>
      <c r="P510" s="17"/>
    </row>
    <row r="511" spans="7:16">
      <c r="G511" s="17"/>
      <c r="P511" s="17"/>
    </row>
    <row r="512" spans="7:16">
      <c r="G512" s="17"/>
      <c r="P512" s="17"/>
    </row>
    <row r="513" spans="7:16">
      <c r="G513" s="17"/>
      <c r="P513" s="17"/>
    </row>
    <row r="514" spans="7:16">
      <c r="G514" s="17"/>
      <c r="P514" s="17"/>
    </row>
    <row r="515" spans="7:16">
      <c r="G515" s="17"/>
      <c r="P515" s="17"/>
    </row>
    <row r="516" spans="7:16">
      <c r="G516" s="17"/>
      <c r="P516" s="17"/>
    </row>
    <row r="517" spans="7:16">
      <c r="G517" s="17"/>
      <c r="P517" s="17"/>
    </row>
    <row r="518" spans="7:16">
      <c r="G518" s="17"/>
      <c r="P518" s="17"/>
    </row>
    <row r="519" spans="7:16">
      <c r="G519" s="17"/>
      <c r="P519" s="17"/>
    </row>
    <row r="520" spans="7:16">
      <c r="G520" s="17"/>
      <c r="P520" s="17"/>
    </row>
    <row r="521" spans="7:16">
      <c r="G521" s="17"/>
      <c r="P521" s="17"/>
    </row>
    <row r="522" spans="7:16">
      <c r="G522" s="17"/>
      <c r="P522" s="17"/>
    </row>
    <row r="523" spans="7:16">
      <c r="G523" s="17"/>
      <c r="P523" s="17"/>
    </row>
    <row r="524" spans="7:16">
      <c r="G524" s="17"/>
      <c r="P524" s="17"/>
    </row>
    <row r="525" spans="7:16">
      <c r="G525" s="17"/>
      <c r="P525" s="17"/>
    </row>
    <row r="526" spans="7:16">
      <c r="G526" s="17"/>
      <c r="P526" s="17"/>
    </row>
    <row r="527" spans="7:16">
      <c r="G527" s="17"/>
      <c r="P527" s="17"/>
    </row>
    <row r="528" spans="7:16">
      <c r="G528" s="17"/>
      <c r="P528" s="17"/>
    </row>
    <row r="529" spans="7:16">
      <c r="G529" s="17"/>
      <c r="P529" s="17"/>
    </row>
    <row r="530" spans="7:16">
      <c r="G530" s="17"/>
      <c r="P530" s="17"/>
    </row>
    <row r="531" spans="7:16">
      <c r="G531" s="17"/>
      <c r="P531" s="17"/>
    </row>
    <row r="532" spans="7:16">
      <c r="G532" s="17"/>
      <c r="P532" s="17"/>
    </row>
    <row r="533" spans="7:16">
      <c r="G533" s="17"/>
      <c r="P533" s="17"/>
    </row>
    <row r="534" spans="7:16">
      <c r="G534" s="17"/>
      <c r="P534" s="17"/>
    </row>
    <row r="535" spans="7:16">
      <c r="G535" s="17"/>
      <c r="P535" s="17"/>
    </row>
    <row r="536" spans="7:16">
      <c r="G536" s="17"/>
      <c r="P536" s="17"/>
    </row>
    <row r="537" spans="7:16">
      <c r="G537" s="17"/>
      <c r="P537" s="17"/>
    </row>
    <row r="538" spans="7:16">
      <c r="G538" s="17"/>
      <c r="P538" s="17"/>
    </row>
    <row r="539" spans="7:16">
      <c r="G539" s="17"/>
      <c r="P539" s="17"/>
    </row>
    <row r="540" spans="7:16">
      <c r="G540" s="17"/>
      <c r="P540" s="17"/>
    </row>
    <row r="541" spans="7:16">
      <c r="G541" s="17"/>
      <c r="P541" s="17"/>
    </row>
    <row r="542" spans="7:16">
      <c r="G542" s="17"/>
      <c r="P542" s="17"/>
    </row>
    <row r="543" spans="7:16">
      <c r="G543" s="17"/>
      <c r="P543" s="17"/>
    </row>
    <row r="544" spans="7:16">
      <c r="G544" s="17"/>
      <c r="P544" s="17"/>
    </row>
    <row r="545" spans="7:16">
      <c r="G545" s="17"/>
      <c r="P545" s="17"/>
    </row>
    <row r="546" spans="7:16">
      <c r="G546" s="17"/>
      <c r="P546" s="17"/>
    </row>
    <row r="547" spans="7:16">
      <c r="G547" s="17"/>
      <c r="P547" s="17"/>
    </row>
    <row r="548" spans="7:16">
      <c r="G548" s="17"/>
      <c r="P548" s="17"/>
    </row>
    <row r="549" spans="7:16">
      <c r="G549" s="17"/>
      <c r="P549" s="17"/>
    </row>
    <row r="550" spans="7:16">
      <c r="G550" s="17"/>
      <c r="P550" s="17"/>
    </row>
    <row r="551" spans="7:16">
      <c r="G551" s="17"/>
      <c r="P551" s="17"/>
    </row>
    <row r="552" spans="7:16">
      <c r="G552" s="17"/>
      <c r="P552" s="17"/>
    </row>
    <row r="553" spans="7:16">
      <c r="G553" s="17"/>
      <c r="P553" s="17"/>
    </row>
    <row r="554" spans="7:16">
      <c r="G554" s="17"/>
      <c r="P554" s="17"/>
    </row>
    <row r="555" spans="7:16">
      <c r="G555" s="17"/>
      <c r="P555" s="17"/>
    </row>
    <row r="556" spans="7:16">
      <c r="G556" s="17"/>
      <c r="P556" s="17"/>
    </row>
    <row r="557" spans="7:16">
      <c r="G557" s="17"/>
      <c r="P557" s="17"/>
    </row>
    <row r="558" spans="7:16">
      <c r="G558" s="17"/>
      <c r="P558" s="17"/>
    </row>
    <row r="559" spans="7:16">
      <c r="G559" s="17"/>
      <c r="P559" s="17"/>
    </row>
    <row r="560" spans="7:16">
      <c r="G560" s="17"/>
      <c r="P560" s="17"/>
    </row>
    <row r="561" spans="7:16">
      <c r="G561" s="17"/>
      <c r="P561" s="17"/>
    </row>
    <row r="562" spans="7:16">
      <c r="G562" s="17"/>
      <c r="P562" s="17"/>
    </row>
    <row r="563" spans="7:16">
      <c r="G563" s="17"/>
      <c r="P563" s="17"/>
    </row>
    <row r="564" spans="7:16">
      <c r="G564" s="17"/>
      <c r="P564" s="17"/>
    </row>
    <row r="565" spans="7:16">
      <c r="G565" s="17"/>
      <c r="P565" s="17"/>
    </row>
    <row r="566" spans="7:16">
      <c r="G566" s="17"/>
      <c r="P566" s="17"/>
    </row>
    <row r="567" spans="7:16">
      <c r="G567" s="17"/>
      <c r="P567" s="17"/>
    </row>
    <row r="568" spans="7:16">
      <c r="G568" s="17"/>
      <c r="P568" s="17"/>
    </row>
    <row r="569" spans="7:16">
      <c r="G569" s="17"/>
      <c r="P569" s="17"/>
    </row>
    <row r="570" spans="7:16">
      <c r="G570" s="17"/>
      <c r="P570" s="17"/>
    </row>
    <row r="571" spans="7:16">
      <c r="G571" s="17"/>
      <c r="P571" s="17"/>
    </row>
    <row r="572" spans="7:16">
      <c r="G572" s="17"/>
      <c r="P572" s="17"/>
    </row>
    <row r="573" spans="7:16">
      <c r="G573" s="17"/>
      <c r="P573" s="17"/>
    </row>
    <row r="574" spans="7:16">
      <c r="G574" s="17"/>
      <c r="P574" s="17"/>
    </row>
    <row r="575" spans="7:16">
      <c r="G575" s="17"/>
      <c r="P575" s="17"/>
    </row>
    <row r="576" spans="7:16">
      <c r="G576" s="17"/>
      <c r="P576" s="17"/>
    </row>
    <row r="577" spans="7:16">
      <c r="G577" s="17"/>
      <c r="P577" s="17"/>
    </row>
    <row r="578" spans="7:16">
      <c r="G578" s="17"/>
      <c r="P578" s="17"/>
    </row>
    <row r="579" spans="7:16">
      <c r="G579" s="17"/>
      <c r="P579" s="17"/>
    </row>
    <row r="580" spans="7:16">
      <c r="G580" s="17"/>
      <c r="P580" s="17"/>
    </row>
    <row r="581" spans="7:16">
      <c r="G581" s="17"/>
      <c r="P581" s="17"/>
    </row>
    <row r="582" spans="7:16">
      <c r="G582" s="17"/>
      <c r="P582" s="17"/>
    </row>
    <row r="583" spans="7:16">
      <c r="G583" s="17"/>
      <c r="P583" s="17"/>
    </row>
    <row r="584" spans="7:16">
      <c r="G584" s="17"/>
      <c r="P584" s="17"/>
    </row>
    <row r="585" spans="7:16">
      <c r="G585" s="17"/>
      <c r="P585" s="17"/>
    </row>
    <row r="586" spans="7:16">
      <c r="G586" s="17"/>
      <c r="P586" s="17"/>
    </row>
    <row r="587" spans="7:16">
      <c r="G587" s="17"/>
      <c r="P587" s="17"/>
    </row>
    <row r="588" spans="7:16">
      <c r="G588" s="17"/>
      <c r="P588" s="17"/>
    </row>
    <row r="589" spans="7:16">
      <c r="G589" s="17"/>
      <c r="P589" s="17"/>
    </row>
    <row r="590" spans="7:16">
      <c r="G590" s="17"/>
      <c r="P590" s="17"/>
    </row>
    <row r="591" spans="7:16">
      <c r="G591" s="17"/>
      <c r="P591" s="17"/>
    </row>
    <row r="592" spans="7:16">
      <c r="G592" s="17"/>
      <c r="P592" s="17"/>
    </row>
    <row r="593" spans="7:16">
      <c r="G593" s="17"/>
      <c r="P593" s="17"/>
    </row>
    <row r="594" spans="7:16">
      <c r="G594" s="17"/>
      <c r="P594" s="17"/>
    </row>
    <row r="595" spans="7:16">
      <c r="G595" s="17"/>
      <c r="P595" s="17"/>
    </row>
    <row r="596" spans="7:16">
      <c r="G596" s="17"/>
      <c r="P596" s="17"/>
    </row>
    <row r="597" spans="7:16">
      <c r="G597" s="17"/>
      <c r="P597" s="17"/>
    </row>
    <row r="598" spans="7:16">
      <c r="G598" s="17"/>
      <c r="P598" s="17"/>
    </row>
    <row r="599" spans="7:16">
      <c r="G599" s="17"/>
      <c r="P599" s="17"/>
    </row>
    <row r="600" spans="7:16">
      <c r="G600" s="17"/>
      <c r="P600" s="17"/>
    </row>
    <row r="601" spans="7:16">
      <c r="G601" s="17"/>
      <c r="P601" s="17"/>
    </row>
    <row r="602" spans="7:16">
      <c r="G602" s="17"/>
      <c r="P602" s="17"/>
    </row>
    <row r="603" spans="7:16">
      <c r="G603" s="17"/>
      <c r="P603" s="17"/>
    </row>
    <row r="604" spans="7:16">
      <c r="G604" s="17"/>
      <c r="P604" s="17"/>
    </row>
    <row r="605" spans="7:16">
      <c r="G605" s="17"/>
      <c r="P605" s="17"/>
    </row>
    <row r="606" spans="7:16">
      <c r="G606" s="17"/>
      <c r="P606" s="17"/>
    </row>
    <row r="607" spans="7:16">
      <c r="G607" s="17"/>
      <c r="P607" s="17"/>
    </row>
    <row r="608" spans="7:16">
      <c r="G608" s="17"/>
      <c r="P608" s="17"/>
    </row>
    <row r="609" spans="7:16">
      <c r="G609" s="17"/>
      <c r="P609" s="17"/>
    </row>
    <row r="610" spans="7:16">
      <c r="G610" s="17"/>
      <c r="P610" s="17"/>
    </row>
    <row r="611" spans="7:16">
      <c r="G611" s="17"/>
      <c r="P611" s="17"/>
    </row>
    <row r="612" spans="7:16">
      <c r="G612" s="17"/>
      <c r="P612" s="17"/>
    </row>
    <row r="613" spans="7:16">
      <c r="G613" s="17"/>
      <c r="P613" s="17"/>
    </row>
    <row r="614" spans="7:16">
      <c r="G614" s="17"/>
      <c r="P614" s="17"/>
    </row>
    <row r="615" spans="7:16">
      <c r="G615" s="17"/>
      <c r="P615" s="17"/>
    </row>
    <row r="616" spans="7:16">
      <c r="G616" s="17"/>
      <c r="P616" s="17"/>
    </row>
    <row r="617" spans="7:16">
      <c r="G617" s="17"/>
      <c r="P617" s="17"/>
    </row>
    <row r="618" spans="7:16">
      <c r="G618" s="17"/>
      <c r="P618" s="17"/>
    </row>
    <row r="619" spans="7:16">
      <c r="G619" s="17"/>
      <c r="P619" s="17"/>
    </row>
    <row r="620" spans="7:16">
      <c r="G620" s="17"/>
      <c r="P620" s="17"/>
    </row>
    <row r="621" spans="7:16">
      <c r="G621" s="17"/>
      <c r="P621" s="17"/>
    </row>
    <row r="622" spans="7:16">
      <c r="G622" s="17"/>
      <c r="P622" s="17"/>
    </row>
    <row r="623" spans="7:16">
      <c r="G623" s="17"/>
      <c r="P623" s="17"/>
    </row>
    <row r="624" spans="7:16">
      <c r="G624" s="17"/>
      <c r="P624" s="17"/>
    </row>
    <row r="625" spans="7:16">
      <c r="G625" s="17"/>
      <c r="P625" s="17"/>
    </row>
    <row r="626" spans="7:16">
      <c r="G626" s="17"/>
      <c r="P626" s="17"/>
    </row>
    <row r="627" spans="7:16">
      <c r="G627" s="17"/>
      <c r="P627" s="17"/>
    </row>
    <row r="628" spans="7:16">
      <c r="G628" s="17"/>
      <c r="P628" s="17"/>
    </row>
    <row r="629" spans="7:16">
      <c r="G629" s="17"/>
      <c r="P629" s="17"/>
    </row>
    <row r="630" spans="7:16">
      <c r="G630" s="17"/>
      <c r="P630" s="17"/>
    </row>
    <row r="631" spans="7:16">
      <c r="G631" s="17"/>
      <c r="P631" s="17"/>
    </row>
    <row r="632" spans="7:16">
      <c r="G632" s="17"/>
      <c r="P632" s="17"/>
    </row>
    <row r="633" spans="7:16">
      <c r="G633" s="17"/>
      <c r="P633" s="17"/>
    </row>
    <row r="634" spans="7:16">
      <c r="G634" s="17"/>
      <c r="P634" s="17"/>
    </row>
    <row r="635" spans="7:16">
      <c r="G635" s="17"/>
      <c r="P635" s="17"/>
    </row>
    <row r="636" spans="7:16">
      <c r="G636" s="17"/>
      <c r="P636" s="17"/>
    </row>
    <row r="637" spans="7:16">
      <c r="G637" s="17"/>
      <c r="P637" s="17"/>
    </row>
    <row r="638" spans="7:16">
      <c r="G638" s="17"/>
      <c r="P638" s="17"/>
    </row>
    <row r="639" spans="7:16">
      <c r="G639" s="17"/>
      <c r="P639" s="17"/>
    </row>
    <row r="640" spans="7:16">
      <c r="G640" s="17"/>
      <c r="P640" s="17"/>
    </row>
    <row r="641" spans="7:16">
      <c r="G641" s="17"/>
      <c r="P641" s="17"/>
    </row>
    <row r="642" spans="7:16">
      <c r="G642" s="17"/>
      <c r="P642" s="17"/>
    </row>
    <row r="643" spans="7:16">
      <c r="G643" s="17"/>
      <c r="P643" s="17"/>
    </row>
    <row r="644" spans="7:16">
      <c r="G644" s="17"/>
      <c r="P644" s="17"/>
    </row>
    <row r="645" spans="7:16">
      <c r="G645" s="17"/>
      <c r="P645" s="17"/>
    </row>
    <row r="646" spans="7:16">
      <c r="G646" s="17"/>
      <c r="P646" s="17"/>
    </row>
    <row r="647" spans="7:16">
      <c r="G647" s="17"/>
      <c r="P647" s="17"/>
    </row>
    <row r="648" spans="7:16">
      <c r="G648" s="17"/>
      <c r="P648" s="17"/>
    </row>
    <row r="649" spans="7:16">
      <c r="G649" s="17"/>
      <c r="P649" s="17"/>
    </row>
    <row r="650" spans="7:16">
      <c r="G650" s="17"/>
      <c r="P650" s="17"/>
    </row>
    <row r="651" spans="7:16">
      <c r="G651" s="17"/>
      <c r="P651" s="17"/>
    </row>
    <row r="652" spans="7:16">
      <c r="G652" s="17"/>
      <c r="P652" s="17"/>
    </row>
    <row r="653" spans="7:16">
      <c r="G653" s="17"/>
      <c r="P653" s="17"/>
    </row>
    <row r="654" spans="7:16">
      <c r="G654" s="17"/>
      <c r="P654" s="17"/>
    </row>
    <row r="655" spans="7:16">
      <c r="G655" s="17"/>
      <c r="P655" s="17"/>
    </row>
    <row r="656" spans="7:16">
      <c r="G656" s="17"/>
      <c r="P656" s="17"/>
    </row>
    <row r="657" spans="7:16">
      <c r="G657" s="17"/>
      <c r="P657" s="17"/>
    </row>
    <row r="658" spans="7:16">
      <c r="G658" s="17"/>
      <c r="P658" s="17"/>
    </row>
    <row r="659" spans="7:16">
      <c r="G659" s="17"/>
      <c r="P659" s="17"/>
    </row>
    <row r="660" spans="7:16">
      <c r="G660" s="17"/>
      <c r="P660" s="17"/>
    </row>
    <row r="661" spans="7:16">
      <c r="G661" s="17"/>
      <c r="P661" s="17"/>
    </row>
    <row r="662" spans="7:16">
      <c r="G662" s="17"/>
      <c r="P662" s="17"/>
    </row>
    <row r="663" spans="7:16">
      <c r="G663" s="17"/>
      <c r="P663" s="17"/>
    </row>
    <row r="664" spans="7:16">
      <c r="G664" s="17"/>
      <c r="P664" s="17"/>
    </row>
    <row r="665" spans="7:16">
      <c r="G665" s="17"/>
      <c r="P665" s="17"/>
    </row>
    <row r="666" spans="7:16">
      <c r="G666" s="17"/>
      <c r="P666" s="17"/>
    </row>
    <row r="667" spans="7:16">
      <c r="G667" s="17"/>
      <c r="P667" s="17"/>
    </row>
    <row r="668" spans="7:16">
      <c r="G668" s="17"/>
      <c r="P668" s="17"/>
    </row>
    <row r="669" spans="7:16">
      <c r="G669" s="17"/>
      <c r="P669" s="17"/>
    </row>
    <row r="670" spans="7:16">
      <c r="G670" s="17"/>
      <c r="P670" s="17"/>
    </row>
    <row r="671" spans="7:16">
      <c r="G671" s="17"/>
      <c r="P671" s="17"/>
    </row>
    <row r="672" spans="7:16">
      <c r="G672" s="17"/>
      <c r="P672" s="17"/>
    </row>
    <row r="673" spans="7:16">
      <c r="G673" s="17"/>
      <c r="P673" s="17"/>
    </row>
    <row r="674" spans="7:16">
      <c r="G674" s="17"/>
      <c r="P674" s="17"/>
    </row>
    <row r="675" spans="7:16">
      <c r="G675" s="17"/>
      <c r="P675" s="17"/>
    </row>
    <row r="676" spans="7:16">
      <c r="G676" s="17"/>
      <c r="P676" s="17"/>
    </row>
    <row r="677" spans="7:16">
      <c r="G677" s="17"/>
      <c r="P677" s="17"/>
    </row>
    <row r="678" spans="7:16">
      <c r="G678" s="17"/>
      <c r="P678" s="17"/>
    </row>
    <row r="679" spans="7:16">
      <c r="G679" s="17"/>
      <c r="P679" s="17"/>
    </row>
    <row r="680" spans="7:16">
      <c r="G680" s="17"/>
      <c r="P680" s="17"/>
    </row>
    <row r="681" spans="7:16">
      <c r="G681" s="17"/>
      <c r="P681" s="17"/>
    </row>
    <row r="682" spans="7:16">
      <c r="G682" s="17"/>
      <c r="P682" s="17"/>
    </row>
    <row r="683" spans="7:16">
      <c r="G683" s="17"/>
      <c r="P683" s="17"/>
    </row>
    <row r="684" spans="7:16">
      <c r="G684" s="17"/>
      <c r="P684" s="17"/>
    </row>
    <row r="685" spans="7:16">
      <c r="G685" s="17"/>
      <c r="P685" s="17"/>
    </row>
    <row r="686" spans="7:16">
      <c r="G686" s="17"/>
      <c r="P686" s="17"/>
    </row>
    <row r="687" spans="7:16">
      <c r="G687" s="17"/>
      <c r="P687" s="17"/>
    </row>
    <row r="688" spans="7:16">
      <c r="G688" s="17"/>
      <c r="P688" s="17"/>
    </row>
    <row r="689" spans="7:16">
      <c r="G689" s="17"/>
      <c r="P689" s="17"/>
    </row>
    <row r="690" spans="7:16">
      <c r="G690" s="17"/>
      <c r="P690" s="17"/>
    </row>
    <row r="691" spans="7:16">
      <c r="G691" s="17"/>
      <c r="P691" s="17"/>
    </row>
    <row r="692" spans="7:16">
      <c r="G692" s="17"/>
      <c r="P692" s="17"/>
    </row>
    <row r="693" spans="7:16">
      <c r="G693" s="17"/>
      <c r="P693" s="17"/>
    </row>
    <row r="694" spans="7:16">
      <c r="G694" s="17"/>
      <c r="P694" s="17"/>
    </row>
    <row r="695" spans="7:16">
      <c r="G695" s="17"/>
      <c r="P695" s="17"/>
    </row>
    <row r="696" spans="7:16">
      <c r="G696" s="17"/>
      <c r="P696" s="17"/>
    </row>
    <row r="697" spans="7:16">
      <c r="G697" s="17"/>
      <c r="P697" s="17"/>
    </row>
    <row r="698" spans="7:16">
      <c r="G698" s="17"/>
      <c r="P698" s="17"/>
    </row>
    <row r="699" spans="7:16">
      <c r="G699" s="17"/>
      <c r="P699" s="17"/>
    </row>
    <row r="700" spans="7:16">
      <c r="G700" s="17"/>
      <c r="P700" s="17"/>
    </row>
    <row r="701" spans="7:16">
      <c r="G701" s="17"/>
      <c r="P701" s="17"/>
    </row>
    <row r="702" spans="7:16">
      <c r="G702" s="17"/>
      <c r="P702" s="17"/>
    </row>
    <row r="703" spans="7:16">
      <c r="G703" s="17"/>
      <c r="P703" s="17"/>
    </row>
    <row r="704" spans="7:16">
      <c r="G704" s="17"/>
      <c r="P704" s="17"/>
    </row>
    <row r="705" spans="7:16">
      <c r="G705" s="17"/>
      <c r="P705" s="17"/>
    </row>
    <row r="706" spans="7:16">
      <c r="G706" s="17"/>
      <c r="P706" s="17"/>
    </row>
    <row r="707" spans="7:16">
      <c r="G707" s="17"/>
      <c r="P707" s="17"/>
    </row>
    <row r="708" spans="7:16">
      <c r="G708" s="17"/>
      <c r="P708" s="17"/>
    </row>
    <row r="709" spans="7:16">
      <c r="G709" s="17"/>
      <c r="P709" s="17"/>
    </row>
    <row r="710" spans="7:16">
      <c r="G710" s="17"/>
      <c r="P710" s="17"/>
    </row>
    <row r="711" spans="7:16">
      <c r="G711" s="17"/>
      <c r="P711" s="17"/>
    </row>
    <row r="712" spans="7:16">
      <c r="G712" s="17"/>
      <c r="P712" s="17"/>
    </row>
    <row r="713" spans="7:16">
      <c r="G713" s="17"/>
      <c r="P713" s="17"/>
    </row>
    <row r="714" spans="7:16">
      <c r="G714" s="17"/>
      <c r="P714" s="17"/>
    </row>
    <row r="715" spans="7:16">
      <c r="G715" s="17"/>
      <c r="P715" s="17"/>
    </row>
    <row r="716" spans="7:16">
      <c r="G716" s="17"/>
      <c r="P716" s="17"/>
    </row>
    <row r="717" spans="7:16">
      <c r="G717" s="17"/>
      <c r="P717" s="17"/>
    </row>
    <row r="718" spans="7:16">
      <c r="G718" s="17"/>
      <c r="P718" s="17"/>
    </row>
    <row r="719" spans="7:16">
      <c r="G719" s="17"/>
      <c r="P719" s="17"/>
    </row>
    <row r="720" spans="7:16">
      <c r="G720" s="17"/>
      <c r="P720" s="17"/>
    </row>
    <row r="721" spans="7:16">
      <c r="G721" s="17"/>
      <c r="P721" s="17"/>
    </row>
    <row r="722" spans="7:16">
      <c r="G722" s="17"/>
      <c r="P722" s="17"/>
    </row>
    <row r="723" spans="7:16">
      <c r="G723" s="17"/>
      <c r="P723" s="17"/>
    </row>
    <row r="724" spans="7:16">
      <c r="G724" s="17"/>
      <c r="P724" s="17"/>
    </row>
    <row r="725" spans="7:16">
      <c r="G725" s="17"/>
      <c r="P725" s="17"/>
    </row>
    <row r="726" spans="7:16">
      <c r="G726" s="17"/>
      <c r="P726" s="17"/>
    </row>
    <row r="727" spans="7:16">
      <c r="G727" s="17"/>
      <c r="P727" s="17"/>
    </row>
    <row r="728" spans="7:16">
      <c r="G728" s="17"/>
      <c r="P728" s="17"/>
    </row>
    <row r="729" spans="7:16">
      <c r="G729" s="17"/>
      <c r="P729" s="17"/>
    </row>
    <row r="730" spans="7:16">
      <c r="G730" s="17"/>
      <c r="P730" s="17"/>
    </row>
    <row r="731" spans="7:16">
      <c r="G731" s="17"/>
      <c r="P731" s="17"/>
    </row>
    <row r="732" spans="7:16">
      <c r="G732" s="17"/>
      <c r="P732" s="17"/>
    </row>
    <row r="733" spans="7:16">
      <c r="G733" s="17"/>
      <c r="P733" s="17"/>
    </row>
    <row r="734" spans="7:16">
      <c r="G734" s="17"/>
      <c r="P734" s="17"/>
    </row>
    <row r="735" spans="7:16">
      <c r="G735" s="17"/>
      <c r="P735" s="17"/>
    </row>
    <row r="736" spans="7:16">
      <c r="G736" s="17"/>
      <c r="P736" s="17"/>
    </row>
    <row r="737" spans="7:16">
      <c r="G737" s="17"/>
      <c r="P737" s="17"/>
    </row>
    <row r="738" spans="7:16">
      <c r="G738" s="17"/>
      <c r="P738" s="17"/>
    </row>
    <row r="739" spans="7:16">
      <c r="G739" s="17"/>
      <c r="P739" s="17"/>
    </row>
    <row r="740" spans="7:16">
      <c r="G740" s="17"/>
      <c r="P740" s="17"/>
    </row>
    <row r="741" spans="7:16">
      <c r="G741" s="17"/>
      <c r="P741" s="17"/>
    </row>
    <row r="742" spans="7:16">
      <c r="G742" s="17"/>
      <c r="P742" s="17"/>
    </row>
    <row r="743" spans="7:16">
      <c r="G743" s="17"/>
      <c r="P743" s="17"/>
    </row>
    <row r="744" spans="7:16">
      <c r="G744" s="17"/>
      <c r="P744" s="17"/>
    </row>
    <row r="745" spans="7:16">
      <c r="G745" s="17"/>
      <c r="P745" s="17"/>
    </row>
    <row r="746" spans="7:16">
      <c r="G746" s="17"/>
      <c r="P746" s="17"/>
    </row>
    <row r="747" spans="7:16">
      <c r="G747" s="17"/>
      <c r="P747" s="17"/>
    </row>
    <row r="748" spans="7:16">
      <c r="G748" s="17"/>
      <c r="P748" s="17"/>
    </row>
    <row r="749" spans="7:16">
      <c r="G749" s="17"/>
      <c r="P749" s="17"/>
    </row>
    <row r="750" spans="7:16">
      <c r="G750" s="17"/>
      <c r="P750" s="17"/>
    </row>
    <row r="751" spans="7:16">
      <c r="G751" s="17"/>
      <c r="P751" s="17"/>
    </row>
    <row r="752" spans="7:16">
      <c r="G752" s="17"/>
      <c r="P752" s="17"/>
    </row>
    <row r="753" spans="7:16">
      <c r="G753" s="17"/>
      <c r="P753" s="17"/>
    </row>
    <row r="754" spans="7:16">
      <c r="G754" s="17"/>
      <c r="P754" s="17"/>
    </row>
    <row r="755" spans="7:16">
      <c r="G755" s="17"/>
      <c r="P755" s="17"/>
    </row>
    <row r="756" spans="7:16">
      <c r="G756" s="17"/>
      <c r="P756" s="17"/>
    </row>
    <row r="757" spans="7:16">
      <c r="G757" s="17"/>
      <c r="P757" s="17"/>
    </row>
    <row r="758" spans="7:16">
      <c r="G758" s="17"/>
      <c r="P758" s="17"/>
    </row>
    <row r="759" spans="7:16">
      <c r="G759" s="17"/>
      <c r="P759" s="17"/>
    </row>
    <row r="760" spans="7:16">
      <c r="G760" s="17"/>
      <c r="P760" s="17"/>
    </row>
    <row r="761" spans="7:16">
      <c r="G761" s="17"/>
      <c r="P761" s="17"/>
    </row>
    <row r="762" spans="7:16">
      <c r="G762" s="17"/>
      <c r="P762" s="17"/>
    </row>
    <row r="763" spans="7:16">
      <c r="G763" s="17"/>
      <c r="P763" s="17"/>
    </row>
    <row r="764" spans="7:16">
      <c r="G764" s="17"/>
      <c r="P764" s="17"/>
    </row>
    <row r="765" spans="7:16">
      <c r="G765" s="17"/>
      <c r="P765" s="17"/>
    </row>
    <row r="766" spans="7:16">
      <c r="G766" s="17"/>
      <c r="P766" s="17"/>
    </row>
    <row r="767" spans="7:16">
      <c r="G767" s="17"/>
      <c r="P767" s="17"/>
    </row>
    <row r="768" spans="7:16">
      <c r="G768" s="17"/>
      <c r="P768" s="17"/>
    </row>
    <row r="769" spans="7:16">
      <c r="G769" s="17"/>
      <c r="P769" s="17"/>
    </row>
    <row r="770" spans="7:16">
      <c r="G770" s="17"/>
      <c r="P770" s="17"/>
    </row>
    <row r="771" spans="7:16">
      <c r="G771" s="17"/>
      <c r="P771" s="17"/>
    </row>
    <row r="772" spans="7:16">
      <c r="G772" s="17"/>
      <c r="P772" s="17"/>
    </row>
    <row r="773" spans="7:16">
      <c r="G773" s="17"/>
      <c r="P773" s="17"/>
    </row>
    <row r="774" spans="7:16">
      <c r="G774" s="17"/>
      <c r="P774" s="17"/>
    </row>
    <row r="775" spans="7:16">
      <c r="G775" s="17"/>
      <c r="P775" s="17"/>
    </row>
    <row r="776" spans="7:16">
      <c r="G776" s="17"/>
      <c r="P776" s="17"/>
    </row>
    <row r="777" spans="7:16">
      <c r="G777" s="17"/>
      <c r="P777" s="17"/>
    </row>
    <row r="778" spans="7:16">
      <c r="G778" s="17"/>
      <c r="P778" s="17"/>
    </row>
    <row r="779" spans="7:16">
      <c r="G779" s="17"/>
      <c r="P779" s="17"/>
    </row>
    <row r="780" spans="7:16">
      <c r="G780" s="17"/>
      <c r="P780" s="17"/>
    </row>
    <row r="781" spans="7:16">
      <c r="G781" s="17"/>
      <c r="P781" s="17"/>
    </row>
    <row r="782" spans="7:16">
      <c r="G782" s="17"/>
      <c r="P782" s="17"/>
    </row>
    <row r="783" spans="7:16">
      <c r="G783" s="17"/>
      <c r="P783" s="17"/>
    </row>
    <row r="784" spans="7:16">
      <c r="G784" s="17"/>
      <c r="P784" s="17"/>
    </row>
    <row r="785" spans="7:16">
      <c r="G785" s="17"/>
      <c r="P785" s="17"/>
    </row>
    <row r="786" spans="7:16">
      <c r="G786" s="17"/>
      <c r="P786" s="17"/>
    </row>
    <row r="787" spans="7:16">
      <c r="G787" s="17"/>
      <c r="P787" s="17"/>
    </row>
    <row r="788" spans="7:16">
      <c r="G788" s="17"/>
      <c r="P788" s="17"/>
    </row>
    <row r="789" spans="7:16">
      <c r="G789" s="17"/>
      <c r="P789" s="17"/>
    </row>
    <row r="790" spans="7:16">
      <c r="G790" s="17"/>
      <c r="P790" s="17"/>
    </row>
    <row r="791" spans="7:16">
      <c r="G791" s="17"/>
      <c r="P791" s="17"/>
    </row>
    <row r="792" spans="7:16">
      <c r="G792" s="17"/>
      <c r="P792" s="17"/>
    </row>
    <row r="793" spans="7:16">
      <c r="G793" s="17"/>
      <c r="P793" s="17"/>
    </row>
    <row r="794" spans="7:16">
      <c r="G794" s="17"/>
      <c r="P794" s="17"/>
    </row>
    <row r="795" spans="7:16">
      <c r="G795" s="17"/>
      <c r="P795" s="17"/>
    </row>
    <row r="796" spans="7:16">
      <c r="G796" s="17"/>
      <c r="P796" s="17"/>
    </row>
    <row r="797" spans="7:16">
      <c r="G797" s="17"/>
      <c r="P797" s="17"/>
    </row>
    <row r="798" spans="7:16">
      <c r="G798" s="17"/>
      <c r="P798" s="17"/>
    </row>
    <row r="799" spans="7:16">
      <c r="G799" s="17"/>
      <c r="P799" s="17"/>
    </row>
    <row r="800" spans="7:16">
      <c r="G800" s="17"/>
      <c r="P800" s="17"/>
    </row>
    <row r="801" spans="7:16">
      <c r="G801" s="17"/>
      <c r="P801" s="17"/>
    </row>
    <row r="802" spans="7:16">
      <c r="G802" s="17"/>
      <c r="P802" s="17"/>
    </row>
    <row r="803" spans="7:16">
      <c r="G803" s="17"/>
      <c r="P803" s="17"/>
    </row>
    <row r="804" spans="7:16">
      <c r="G804" s="17"/>
      <c r="P804" s="17"/>
    </row>
    <row r="805" spans="7:16">
      <c r="G805" s="17"/>
      <c r="P805" s="17"/>
    </row>
    <row r="806" spans="7:16">
      <c r="G806" s="17"/>
      <c r="P806" s="17"/>
    </row>
    <row r="807" spans="7:16">
      <c r="G807" s="17"/>
      <c r="P807" s="17"/>
    </row>
    <row r="808" spans="7:16">
      <c r="G808" s="17"/>
      <c r="P808" s="17"/>
    </row>
    <row r="809" spans="7:16">
      <c r="G809" s="17"/>
      <c r="P809" s="17"/>
    </row>
    <row r="810" spans="7:16">
      <c r="G810" s="17"/>
      <c r="P810" s="17"/>
    </row>
    <row r="811" spans="7:16">
      <c r="G811" s="17"/>
      <c r="P811" s="17"/>
    </row>
    <row r="812" spans="7:16">
      <c r="G812" s="17"/>
      <c r="P812" s="17"/>
    </row>
    <row r="813" spans="7:16">
      <c r="G813" s="17"/>
      <c r="P813" s="17"/>
    </row>
    <row r="814" spans="7:16">
      <c r="G814" s="17"/>
      <c r="P814" s="17"/>
    </row>
    <row r="815" spans="7:16">
      <c r="G815" s="17"/>
      <c r="P815" s="17"/>
    </row>
    <row r="816" spans="7:16">
      <c r="G816" s="17"/>
      <c r="P816" s="17"/>
    </row>
    <row r="817" spans="7:16">
      <c r="G817" s="17"/>
      <c r="P817" s="17"/>
    </row>
    <row r="818" spans="7:16">
      <c r="G818" s="17"/>
      <c r="P818" s="17"/>
    </row>
    <row r="819" spans="7:16">
      <c r="G819" s="17"/>
      <c r="P819" s="17"/>
    </row>
    <row r="820" spans="7:16">
      <c r="G820" s="17"/>
      <c r="P820" s="17"/>
    </row>
    <row r="821" spans="7:16">
      <c r="G821" s="17"/>
      <c r="P821" s="17"/>
    </row>
    <row r="822" spans="7:16">
      <c r="G822" s="17"/>
      <c r="P822" s="17"/>
    </row>
    <row r="823" spans="7:16">
      <c r="G823" s="17"/>
      <c r="P823" s="17"/>
    </row>
    <row r="824" spans="7:16">
      <c r="G824" s="17"/>
      <c r="P824" s="17"/>
    </row>
    <row r="825" spans="7:16">
      <c r="G825" s="17"/>
      <c r="P825" s="17"/>
    </row>
    <row r="826" spans="7:16">
      <c r="G826" s="17"/>
      <c r="P826" s="17"/>
    </row>
    <row r="827" spans="7:16">
      <c r="G827" s="17"/>
      <c r="P827" s="17"/>
    </row>
    <row r="828" spans="7:16">
      <c r="G828" s="17"/>
      <c r="P828" s="17"/>
    </row>
    <row r="829" spans="7:16">
      <c r="G829" s="17"/>
      <c r="P829" s="17"/>
    </row>
    <row r="830" spans="7:16">
      <c r="G830" s="17"/>
      <c r="P830" s="17"/>
    </row>
    <row r="831" spans="7:16">
      <c r="G831" s="17"/>
      <c r="P831" s="17"/>
    </row>
    <row r="832" spans="7:16">
      <c r="G832" s="17"/>
      <c r="P832" s="17"/>
    </row>
    <row r="833" spans="7:16">
      <c r="G833" s="17"/>
      <c r="P833" s="17"/>
    </row>
    <row r="834" spans="7:16">
      <c r="G834" s="17"/>
      <c r="P834" s="17"/>
    </row>
    <row r="835" spans="7:16">
      <c r="G835" s="17"/>
      <c r="P835" s="17"/>
    </row>
    <row r="836" spans="7:16">
      <c r="G836" s="17"/>
      <c r="P836" s="17"/>
    </row>
    <row r="837" spans="7:16">
      <c r="G837" s="17"/>
      <c r="P837" s="17"/>
    </row>
    <row r="838" spans="7:16">
      <c r="G838" s="17"/>
      <c r="P838" s="17"/>
    </row>
    <row r="839" spans="7:16">
      <c r="G839" s="17"/>
      <c r="P839" s="17"/>
    </row>
    <row r="840" spans="7:16">
      <c r="G840" s="17"/>
      <c r="P840" s="17"/>
    </row>
    <row r="841" spans="7:16">
      <c r="G841" s="17"/>
      <c r="P841" s="17"/>
    </row>
    <row r="842" spans="7:16">
      <c r="G842" s="17"/>
      <c r="P842" s="17"/>
    </row>
    <row r="843" spans="7:16">
      <c r="G843" s="17"/>
      <c r="P843" s="17"/>
    </row>
    <row r="844" spans="7:16">
      <c r="G844" s="17"/>
      <c r="P844" s="17"/>
    </row>
    <row r="845" spans="7:16">
      <c r="G845" s="17"/>
      <c r="P845" s="17"/>
    </row>
    <row r="846" spans="7:16">
      <c r="G846" s="17"/>
      <c r="P846" s="17"/>
    </row>
    <row r="847" spans="7:16">
      <c r="G847" s="17"/>
      <c r="P847" s="17"/>
    </row>
    <row r="848" spans="7:16">
      <c r="G848" s="17"/>
      <c r="P848" s="17"/>
    </row>
    <row r="849" spans="7:16">
      <c r="G849" s="17"/>
      <c r="P849" s="17"/>
    </row>
    <row r="850" spans="7:16">
      <c r="G850" s="17"/>
      <c r="P850" s="17"/>
    </row>
    <row r="851" spans="7:16">
      <c r="G851" s="17"/>
      <c r="P851" s="17"/>
    </row>
    <row r="852" spans="7:16">
      <c r="G852" s="17"/>
      <c r="P852" s="17"/>
    </row>
    <row r="853" spans="7:16">
      <c r="G853" s="17"/>
      <c r="P853" s="17"/>
    </row>
    <row r="854" spans="7:16">
      <c r="G854" s="17"/>
      <c r="P854" s="17"/>
    </row>
    <row r="855" spans="7:16">
      <c r="G855" s="17"/>
      <c r="P855" s="17"/>
    </row>
    <row r="856" spans="7:16">
      <c r="G856" s="17"/>
      <c r="P856" s="17"/>
    </row>
    <row r="857" spans="7:16">
      <c r="G857" s="17"/>
      <c r="P857" s="17"/>
    </row>
    <row r="858" spans="7:16">
      <c r="G858" s="17"/>
      <c r="P858" s="17"/>
    </row>
    <row r="859" spans="7:16">
      <c r="G859" s="17"/>
      <c r="P859" s="17"/>
    </row>
    <row r="860" spans="7:16">
      <c r="G860" s="17"/>
      <c r="P860" s="17"/>
    </row>
    <row r="861" spans="7:16">
      <c r="G861" s="17"/>
      <c r="P861" s="17"/>
    </row>
    <row r="862" spans="7:16">
      <c r="G862" s="17"/>
      <c r="P862" s="17"/>
    </row>
    <row r="863" spans="7:16">
      <c r="G863" s="17"/>
      <c r="P863" s="17"/>
    </row>
    <row r="864" spans="7:16">
      <c r="G864" s="17"/>
      <c r="P864" s="17"/>
    </row>
    <row r="865" spans="7:16">
      <c r="G865" s="17"/>
      <c r="P865" s="17"/>
    </row>
    <row r="866" spans="7:16">
      <c r="G866" s="17"/>
      <c r="P866" s="17"/>
    </row>
    <row r="867" spans="7:16">
      <c r="G867" s="17"/>
      <c r="P867" s="17"/>
    </row>
    <row r="868" spans="7:16">
      <c r="G868" s="17"/>
      <c r="P868" s="17"/>
    </row>
    <row r="869" spans="7:16">
      <c r="G869" s="17"/>
      <c r="P869" s="17"/>
    </row>
    <row r="870" spans="7:16">
      <c r="G870" s="17"/>
      <c r="P870" s="17"/>
    </row>
    <row r="871" spans="7:16">
      <c r="G871" s="17"/>
      <c r="P871" s="17"/>
    </row>
    <row r="872" spans="7:16">
      <c r="G872" s="17"/>
      <c r="P872" s="17"/>
    </row>
    <row r="873" spans="7:16">
      <c r="G873" s="17"/>
      <c r="P873" s="17"/>
    </row>
    <row r="874" spans="7:16">
      <c r="G874" s="17"/>
      <c r="P874" s="17"/>
    </row>
    <row r="875" spans="7:16">
      <c r="G875" s="17"/>
      <c r="P875" s="17"/>
    </row>
    <row r="876" spans="7:16">
      <c r="G876" s="17"/>
      <c r="P876" s="17"/>
    </row>
    <row r="877" spans="7:16">
      <c r="G877" s="17"/>
      <c r="P877" s="17"/>
    </row>
    <row r="878" spans="7:16">
      <c r="G878" s="17"/>
      <c r="P878" s="17"/>
    </row>
    <row r="879" spans="7:16">
      <c r="G879" s="17"/>
      <c r="P879" s="17"/>
    </row>
    <row r="880" spans="7:16">
      <c r="G880" s="17"/>
      <c r="P880" s="17"/>
    </row>
    <row r="881" spans="7:16">
      <c r="G881" s="17"/>
      <c r="P881" s="17"/>
    </row>
    <row r="882" spans="7:16">
      <c r="G882" s="17"/>
      <c r="P882" s="17"/>
    </row>
    <row r="883" spans="7:16">
      <c r="G883" s="17"/>
      <c r="P883" s="17"/>
    </row>
    <row r="884" spans="7:16">
      <c r="G884" s="17"/>
      <c r="P884" s="17"/>
    </row>
    <row r="885" spans="7:16">
      <c r="G885" s="17"/>
      <c r="P885" s="17"/>
    </row>
    <row r="886" spans="7:16">
      <c r="G886" s="17"/>
      <c r="P886" s="17"/>
    </row>
    <row r="887" spans="7:16">
      <c r="G887" s="17"/>
      <c r="P887" s="17"/>
    </row>
    <row r="888" spans="7:16">
      <c r="G888" s="17"/>
      <c r="P888" s="17"/>
    </row>
    <row r="889" spans="7:16">
      <c r="G889" s="17"/>
      <c r="P889" s="17"/>
    </row>
    <row r="890" spans="7:16">
      <c r="G890" s="17"/>
      <c r="P890" s="17"/>
    </row>
    <row r="891" spans="7:16">
      <c r="G891" s="17"/>
      <c r="P891" s="17"/>
    </row>
    <row r="892" spans="7:16">
      <c r="G892" s="17"/>
      <c r="P892" s="17"/>
    </row>
    <row r="893" spans="7:16">
      <c r="G893" s="17"/>
      <c r="P893" s="17"/>
    </row>
    <row r="894" spans="7:16">
      <c r="G894" s="17"/>
      <c r="P894" s="17"/>
    </row>
    <row r="895" spans="7:16">
      <c r="G895" s="17"/>
      <c r="P895" s="17"/>
    </row>
    <row r="896" spans="7:16">
      <c r="G896" s="17"/>
      <c r="P896" s="17"/>
    </row>
    <row r="897" spans="7:16">
      <c r="G897" s="17"/>
      <c r="P897" s="17"/>
    </row>
    <row r="898" spans="7:16">
      <c r="G898" s="17"/>
      <c r="P898" s="17"/>
    </row>
    <row r="899" spans="7:16">
      <c r="G899" s="17"/>
      <c r="P899" s="17"/>
    </row>
    <row r="900" spans="7:16">
      <c r="G900" s="17"/>
      <c r="P900" s="17"/>
    </row>
    <row r="901" spans="7:16">
      <c r="G901" s="17"/>
      <c r="P901" s="17"/>
    </row>
    <row r="902" spans="7:16">
      <c r="G902" s="17"/>
      <c r="P902" s="17"/>
    </row>
    <row r="903" spans="7:16">
      <c r="G903" s="17"/>
      <c r="P903" s="17"/>
    </row>
    <row r="904" spans="7:16">
      <c r="G904" s="17"/>
      <c r="P904" s="17"/>
    </row>
    <row r="905" spans="7:16">
      <c r="G905" s="17"/>
      <c r="P905" s="17"/>
    </row>
    <row r="906" spans="7:16">
      <c r="G906" s="17"/>
      <c r="P906" s="17"/>
    </row>
    <row r="907" spans="7:16">
      <c r="G907" s="17"/>
      <c r="P907" s="17"/>
    </row>
    <row r="908" spans="7:16">
      <c r="G908" s="17"/>
      <c r="P908" s="17"/>
    </row>
    <row r="909" spans="7:16">
      <c r="G909" s="17"/>
      <c r="P909" s="17"/>
    </row>
    <row r="910" spans="7:16">
      <c r="G910" s="17"/>
      <c r="P910" s="17"/>
    </row>
    <row r="911" spans="7:16">
      <c r="G911" s="17"/>
      <c r="P911" s="17"/>
    </row>
    <row r="912" spans="7:16">
      <c r="G912" s="17"/>
      <c r="P912" s="17"/>
    </row>
    <row r="913" spans="7:16">
      <c r="G913" s="17"/>
      <c r="P913" s="17"/>
    </row>
    <row r="914" spans="7:16">
      <c r="G914" s="17"/>
      <c r="P914" s="17"/>
    </row>
    <row r="915" spans="7:16">
      <c r="G915" s="17"/>
      <c r="P915" s="17"/>
    </row>
    <row r="916" spans="7:16">
      <c r="G916" s="17"/>
      <c r="P916" s="17"/>
    </row>
    <row r="917" spans="7:16">
      <c r="G917" s="17"/>
      <c r="P917" s="17"/>
    </row>
    <row r="918" spans="7:16">
      <c r="G918" s="17"/>
      <c r="P918" s="17"/>
    </row>
    <row r="919" spans="7:16">
      <c r="G919" s="17"/>
      <c r="P919" s="17"/>
    </row>
    <row r="920" spans="7:16">
      <c r="G920" s="17"/>
      <c r="P920" s="17"/>
    </row>
    <row r="921" spans="7:16">
      <c r="G921" s="17"/>
      <c r="P921" s="17"/>
    </row>
    <row r="922" spans="7:16">
      <c r="G922" s="17"/>
      <c r="P922" s="17"/>
    </row>
    <row r="923" spans="7:16">
      <c r="G923" s="17"/>
      <c r="P923" s="17"/>
    </row>
    <row r="924" spans="7:16">
      <c r="G924" s="17"/>
      <c r="P924" s="17"/>
    </row>
    <row r="925" spans="7:16">
      <c r="G925" s="17"/>
      <c r="P925" s="17"/>
    </row>
    <row r="926" spans="7:16">
      <c r="G926" s="17"/>
      <c r="P926" s="17"/>
    </row>
    <row r="927" spans="7:16">
      <c r="G927" s="17"/>
      <c r="P927" s="17"/>
    </row>
    <row r="928" spans="7:16">
      <c r="G928" s="17"/>
      <c r="P928" s="17"/>
    </row>
    <row r="929" spans="7:16">
      <c r="G929" s="17"/>
      <c r="P929" s="17"/>
    </row>
    <row r="930" spans="7:16">
      <c r="G930" s="17"/>
      <c r="P930" s="17"/>
    </row>
    <row r="931" spans="7:16">
      <c r="G931" s="17"/>
      <c r="P931" s="17"/>
    </row>
    <row r="932" spans="7:16">
      <c r="G932" s="17"/>
      <c r="P932" s="17"/>
    </row>
    <row r="933" spans="7:16">
      <c r="G933" s="17"/>
      <c r="P933" s="17"/>
    </row>
    <row r="934" spans="7:16">
      <c r="G934" s="17"/>
      <c r="P934" s="17"/>
    </row>
    <row r="935" spans="7:16">
      <c r="G935" s="17"/>
      <c r="P935" s="17"/>
    </row>
    <row r="936" spans="7:16">
      <c r="G936" s="17"/>
      <c r="P936" s="17"/>
    </row>
    <row r="937" spans="7:16">
      <c r="G937" s="17"/>
      <c r="P937" s="17"/>
    </row>
    <row r="938" spans="7:16">
      <c r="G938" s="17"/>
      <c r="P938" s="17"/>
    </row>
    <row r="939" spans="7:16">
      <c r="G939" s="17"/>
      <c r="P939" s="17"/>
    </row>
    <row r="940" spans="7:16">
      <c r="G940" s="17"/>
      <c r="P940" s="17"/>
    </row>
    <row r="941" spans="7:16">
      <c r="G941" s="17"/>
      <c r="P941" s="17"/>
    </row>
    <row r="942" spans="7:16">
      <c r="G942" s="17"/>
      <c r="P942" s="17"/>
    </row>
    <row r="943" spans="7:16">
      <c r="G943" s="17"/>
      <c r="P943" s="17"/>
    </row>
    <row r="944" spans="7:16">
      <c r="G944" s="17"/>
      <c r="P944" s="17"/>
    </row>
    <row r="945" spans="7:16">
      <c r="G945" s="17"/>
      <c r="P945" s="17"/>
    </row>
    <row r="946" spans="7:16">
      <c r="G946" s="17"/>
      <c r="P946" s="17"/>
    </row>
    <row r="947" spans="7:16">
      <c r="G947" s="17"/>
      <c r="P947" s="17"/>
    </row>
    <row r="948" spans="7:16">
      <c r="G948" s="17"/>
      <c r="P948" s="17"/>
    </row>
    <row r="949" spans="7:16">
      <c r="G949" s="17"/>
      <c r="P949" s="17"/>
    </row>
    <row r="950" spans="7:16">
      <c r="G950" s="17"/>
      <c r="P950" s="17"/>
    </row>
    <row r="951" spans="7:16">
      <c r="G951" s="17"/>
      <c r="P951" s="17"/>
    </row>
    <row r="952" spans="7:16">
      <c r="G952" s="17"/>
      <c r="P952" s="17"/>
    </row>
    <row r="953" spans="7:16">
      <c r="G953" s="17"/>
      <c r="P953" s="17"/>
    </row>
    <row r="954" spans="7:16">
      <c r="G954" s="17"/>
      <c r="P954" s="17"/>
    </row>
    <row r="955" spans="7:16">
      <c r="G955" s="17"/>
      <c r="P955" s="17"/>
    </row>
    <row r="956" spans="7:16">
      <c r="G956" s="17"/>
      <c r="P956" s="17"/>
    </row>
    <row r="957" spans="7:16">
      <c r="G957" s="17"/>
      <c r="P957" s="17"/>
    </row>
    <row r="958" spans="7:16">
      <c r="G958" s="17"/>
      <c r="P958" s="17"/>
    </row>
    <row r="959" spans="7:16">
      <c r="G959" s="17"/>
      <c r="P959" s="17"/>
    </row>
    <row r="960" spans="7:16">
      <c r="G960" s="17"/>
      <c r="P960" s="17"/>
    </row>
    <row r="961" spans="7:16">
      <c r="G961" s="17"/>
      <c r="P961" s="17"/>
    </row>
    <row r="962" spans="7:16">
      <c r="G962" s="17"/>
      <c r="P962" s="17"/>
    </row>
    <row r="963" spans="7:16">
      <c r="G963" s="17"/>
      <c r="P963" s="17"/>
    </row>
    <row r="964" spans="7:16">
      <c r="G964" s="17"/>
      <c r="P964" s="17"/>
    </row>
    <row r="965" spans="7:16">
      <c r="G965" s="17"/>
      <c r="P965" s="17"/>
    </row>
    <row r="966" spans="7:16">
      <c r="G966" s="17"/>
      <c r="P966" s="17"/>
    </row>
    <row r="967" spans="7:16">
      <c r="G967" s="17"/>
      <c r="P967" s="17"/>
    </row>
    <row r="968" spans="7:16">
      <c r="G968" s="17"/>
      <c r="P968" s="17"/>
    </row>
    <row r="969" spans="7:16">
      <c r="G969" s="17"/>
      <c r="P969" s="17"/>
    </row>
    <row r="970" spans="7:16">
      <c r="G970" s="17"/>
      <c r="P970" s="17"/>
    </row>
    <row r="971" spans="7:16">
      <c r="G971" s="17"/>
      <c r="P971" s="17"/>
    </row>
    <row r="972" spans="7:16">
      <c r="G972" s="17"/>
      <c r="P972" s="17"/>
    </row>
    <row r="973" spans="7:16">
      <c r="G973" s="17"/>
      <c r="P973" s="17"/>
    </row>
    <row r="974" spans="7:16">
      <c r="G974" s="17"/>
      <c r="P974" s="17"/>
    </row>
    <row r="975" spans="7:16">
      <c r="G975" s="17"/>
      <c r="P975" s="17"/>
    </row>
    <row r="976" spans="7:16">
      <c r="G976" s="17"/>
      <c r="P976" s="17"/>
    </row>
    <row r="977" spans="7:16">
      <c r="G977" s="17"/>
      <c r="P977" s="17"/>
    </row>
    <row r="978" spans="7:16">
      <c r="G978" s="17"/>
      <c r="P978" s="17"/>
    </row>
    <row r="979" spans="7:16">
      <c r="G979" s="17"/>
      <c r="P979" s="17"/>
    </row>
    <row r="980" spans="7:16">
      <c r="G980" s="17"/>
      <c r="P980" s="17"/>
    </row>
    <row r="981" spans="7:16">
      <c r="G981" s="17"/>
      <c r="P981" s="17"/>
    </row>
    <row r="982" spans="7:16">
      <c r="G982" s="17"/>
      <c r="P982" s="17"/>
    </row>
    <row r="983" spans="7:16">
      <c r="G983" s="17"/>
      <c r="P983" s="17"/>
    </row>
    <row r="984" spans="7:16">
      <c r="G984" s="17"/>
      <c r="P984" s="17"/>
    </row>
    <row r="985" spans="7:16">
      <c r="G985" s="17"/>
      <c r="P985" s="17"/>
    </row>
    <row r="986" spans="7:16">
      <c r="G986" s="17"/>
      <c r="P986" s="17"/>
    </row>
    <row r="987" spans="7:16">
      <c r="G987" s="17"/>
      <c r="P987" s="17"/>
    </row>
    <row r="988" spans="7:16">
      <c r="G988" s="17"/>
      <c r="P988" s="17"/>
    </row>
    <row r="989" spans="7:16">
      <c r="G989" s="17"/>
      <c r="P989" s="17"/>
    </row>
    <row r="990" spans="7:16">
      <c r="G990" s="17"/>
      <c r="P990" s="17"/>
    </row>
    <row r="991" spans="7:16">
      <c r="G991" s="17"/>
      <c r="P991" s="17"/>
    </row>
    <row r="992" spans="7:16">
      <c r="G992" s="17"/>
      <c r="P992" s="17"/>
    </row>
    <row r="993" spans="7:16">
      <c r="G993" s="17"/>
      <c r="P993" s="17"/>
    </row>
    <row r="994" spans="7:16">
      <c r="G994" s="17"/>
      <c r="P994" s="17"/>
    </row>
    <row r="995" spans="7:16">
      <c r="G995" s="17"/>
      <c r="P995" s="17"/>
    </row>
    <row r="996" spans="7:16">
      <c r="G996" s="17"/>
      <c r="P996" s="17"/>
    </row>
    <row r="997" spans="7:16">
      <c r="G997" s="17"/>
      <c r="P997" s="17"/>
    </row>
  </sheetData>
  <autoFilter ref="A1:T997" xr:uid="{00000000-0009-0000-0000-000009000000}"/>
  <conditionalFormatting sqref="Q5 O16:Q16 I18 K18:M18 N18:N19 P18:R19 H32:I41 K32:N41 P32:S41 Q44:Q59 O46 M55:M58 Q61:Q67 R70:R72 Q70:Q76 M76:N78 Q82:Q84 Q86:R86 Q99:Q100 J109 Q118:Q127 N121:N125 R121:R127 M126:M127 K127:L127 N127">
    <cfRule type="containsText" dxfId="2" priority="1" operator="containsText" text="APROBADO">
      <formula>NOT(ISERROR(SEARCH(("APROBADO"),(Q5))))</formula>
    </cfRule>
    <cfRule type="containsText" dxfId="1" priority="2" operator="containsText" text="NOTIFICADO">
      <formula>NOT(ISERROR(SEARCH(("NOTIFICADO"),(Q5))))</formula>
    </cfRule>
    <cfRule type="containsText" dxfId="0" priority="3" operator="containsText" text="RECHAZADO">
      <formula>NOT(ISERROR(SEARCH(("RECHAZADO"),(Q5))))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4.44140625" defaultRowHeight="15.75" customHeight="1"/>
  <sheetData>
    <row r="1" spans="1:1">
      <c r="A1" s="1" t="str">
        <f ca="1">IFERROR(__xludf.DUMMYFUNCTION("QUERY(FILTER(Importrange(""1W5sXuVCo-muXq9naQExIQV7xdM6BHYSf-xzYZZUGm78"",""'AGENDA'!b:b""),Importrange(""1W5sXuVCo-muXq9naQExIQV7xdM6BHYSf-xzYZZUGm78"",""'AGENDA'!b:b"") ='PLANILLA PARA INSPECCION DE REM'!M1), ""Select * Limit 10"" , 1)"),"#REF!")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PLANILLA PARA INSPECCION DE REM</vt:lpstr>
      <vt:lpstr>HAB. T.E 2024</vt:lpstr>
      <vt:lpstr>HAB. T.E 2023</vt:lpstr>
      <vt:lpstr>Escolares</vt:lpstr>
      <vt:lpstr>HAB.REMISES</vt:lpstr>
      <vt:lpstr>ImportRange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Jota</cp:lastModifiedBy>
  <dcterms:modified xsi:type="dcterms:W3CDTF">2026-05-15T16:13:47Z</dcterms:modified>
</cp:coreProperties>
</file>